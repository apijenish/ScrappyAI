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matthewmackenny/Documents/KSU/13 - IT7993 Capstone/## - Deliverables/"/>
    </mc:Choice>
  </mc:AlternateContent>
  <xr:revisionPtr revIDLastSave="0" documentId="13_ncr:1_{FDE3CFD1-AF16-7242-B78F-48E0B37F32E7}" xr6:coauthVersionLast="47" xr6:coauthVersionMax="47" xr10:uidLastSave="{00000000-0000-0000-0000-000000000000}"/>
  <bookViews>
    <workbookView xWindow="0" yWindow="500" windowWidth="35840" windowHeight="21900" activeTab="2" xr2:uid="{D312A523-D7E0-4A45-A836-0CDA6971C380}"/>
  </bookViews>
  <sheets>
    <sheet name="Dashboard" sheetId="7" r:id="rId1"/>
    <sheet name="Sheet1" sheetId="8" r:id="rId2"/>
    <sheet name="Schedule &amp; Milestones" sheetId="2" r:id="rId3"/>
    <sheet name="Deliverable Listing" sheetId="4" r:id="rId4"/>
  </sheet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30" i="2" l="1"/>
  <c r="A29" i="2"/>
  <c r="A3" i="2" l="1"/>
  <c r="A4" i="2" l="1"/>
  <c r="A5" i="2" l="1"/>
  <c r="A6" i="2" l="1"/>
  <c r="A7" i="2" l="1"/>
  <c r="A8" i="2" l="1"/>
  <c r="A9" i="2" l="1"/>
  <c r="A10" i="2" l="1"/>
  <c r="A11" i="2" l="1"/>
  <c r="A12" i="2" l="1"/>
  <c r="A13" i="2" l="1"/>
  <c r="A14" i="2" s="1"/>
  <c r="A15" i="2" s="1"/>
  <c r="A16" i="2" s="1"/>
  <c r="A17" i="2" l="1"/>
  <c r="A18" i="2" s="1"/>
  <c r="A19" i="2" s="1"/>
  <c r="A20" i="2" s="1"/>
  <c r="A21" i="2" s="1"/>
  <c r="A22" i="2" l="1"/>
  <c r="A23" i="2" s="1"/>
  <c r="A24" i="2" s="1"/>
  <c r="A25" i="2" s="1"/>
  <c r="A26" i="2" s="1"/>
  <c r="A27" i="2" s="1"/>
  <c r="A28" i="2" s="1"/>
  <c r="A31" i="2" l="1"/>
  <c r="A32" i="2" s="1"/>
  <c r="A33" i="2" s="1"/>
  <c r="A34" i="2" s="1"/>
  <c r="A35" i="2" s="1"/>
  <c r="A36" i="2" s="1"/>
  <c r="A37" i="2" s="1"/>
  <c r="A38" i="2" s="1"/>
  <c r="A39" i="2" s="1"/>
  <c r="A40" i="2" s="1"/>
  <c r="A41" i="2" l="1"/>
  <c r="A42" i="2" s="1"/>
  <c r="A43" i="2" s="1"/>
  <c r="A44" i="2" s="1"/>
</calcChain>
</file>

<file path=xl/sharedStrings.xml><?xml version="1.0" encoding="utf-8"?>
<sst xmlns="http://schemas.openxmlformats.org/spreadsheetml/2006/main" count="434" uniqueCount="190">
  <si>
    <t>#</t>
  </si>
  <si>
    <t>Phase</t>
  </si>
  <si>
    <t>Start Date</t>
  </si>
  <si>
    <t>End Date</t>
  </si>
  <si>
    <t>Key Activity</t>
  </si>
  <si>
    <t>Details</t>
  </si>
  <si>
    <t>Deliverable</t>
  </si>
  <si>
    <t>Owner</t>
  </si>
  <si>
    <t>Status</t>
  </si>
  <si>
    <t>Intiation</t>
  </si>
  <si>
    <t>LinkedIn Profile</t>
  </si>
  <si>
    <t>Upload Your Professional Profile</t>
  </si>
  <si>
    <t>Create and Upload LinkedIn URL</t>
  </si>
  <si>
    <t>All</t>
  </si>
  <si>
    <t>In-Progress</t>
  </si>
  <si>
    <t>Not Started</t>
  </si>
  <si>
    <t>Create a Project Plan</t>
  </si>
  <si>
    <t>Build a plan to support the capstone. Continue to review weekly and update</t>
  </si>
  <si>
    <t>Project Plan</t>
  </si>
  <si>
    <t>Meet Mentor and Determine Schedule</t>
  </si>
  <si>
    <t>Meet Mentor and align on ongoing meeting timing</t>
  </si>
  <si>
    <t>Confirm Project URL</t>
  </si>
  <si>
    <t>URL to showcase the project work and effort</t>
  </si>
  <si>
    <t>Project URL</t>
  </si>
  <si>
    <t>Review</t>
  </si>
  <si>
    <t>Create Collaboration Plan</t>
  </si>
  <si>
    <t>Describe how we will work together successfully and deliver on the outcomes of the Capstone.</t>
  </si>
  <si>
    <t>Collaboration Plan</t>
  </si>
  <si>
    <t>Complete</t>
  </si>
  <si>
    <t>Create Communication Plan</t>
  </si>
  <si>
    <t>Describe how we will communicate as a team, with academic leadership, and the mentor. When, what, and how.</t>
  </si>
  <si>
    <t>Communication Plan</t>
  </si>
  <si>
    <t>On-Hold</t>
  </si>
  <si>
    <t>Review Weekly Log Guide</t>
  </si>
  <si>
    <t>Review and align as a team on the weekly log</t>
  </si>
  <si>
    <t>Setup Local Dev Environments</t>
  </si>
  <si>
    <t>Setup Langchain, Python etc.</t>
  </si>
  <si>
    <t>Milestone 1</t>
  </si>
  <si>
    <t>Weekly Log Template</t>
  </si>
  <si>
    <t>Build a template for us to use to report on our ongoing work, effort and progress. Tied to the collaboration and communication plan</t>
  </si>
  <si>
    <t>Create Milestone Report Format</t>
  </si>
  <si>
    <t>Build and align on a Powerpoint Template to report out milestone progress to our mentor and acadamic leadership</t>
  </si>
  <si>
    <t>Milestone Report Template</t>
  </si>
  <si>
    <t>Milestone Report #1</t>
  </si>
  <si>
    <t>First Milestone Report on progress to achieve the capstone</t>
  </si>
  <si>
    <t>Milestone Report 1</t>
  </si>
  <si>
    <t>Milestone 2</t>
  </si>
  <si>
    <t>Milestone Report #2</t>
  </si>
  <si>
    <t>Second Milestone Report on progress to achieve the capstone</t>
  </si>
  <si>
    <t>Milestone Report 2</t>
  </si>
  <si>
    <t>Milestone 3</t>
  </si>
  <si>
    <t>Milestone Report #3</t>
  </si>
  <si>
    <t>Third Milestone Report on progress to achieve the capstone</t>
  </si>
  <si>
    <t>Milestone Report 3</t>
  </si>
  <si>
    <t>Project Closing</t>
  </si>
  <si>
    <t>Final Project Report Guide</t>
  </si>
  <si>
    <t>Review final reporting guidelines and expectations</t>
  </si>
  <si>
    <t>Project Deliverable Package to Project Owner</t>
  </si>
  <si>
    <t>Package up all deliverables and share to the project owner</t>
  </si>
  <si>
    <t>Project Deliverables Package</t>
  </si>
  <si>
    <t>Final Project Report</t>
  </si>
  <si>
    <t>Create the final project report for the capstone</t>
  </si>
  <si>
    <t>Project Report</t>
  </si>
  <si>
    <t>Peer Evaluation Submission</t>
  </si>
  <si>
    <t>Submit your evaluation of your peers</t>
  </si>
  <si>
    <t>Activity</t>
  </si>
  <si>
    <t>Reviewed</t>
  </si>
  <si>
    <t>Responsible</t>
  </si>
  <si>
    <t>Formal Requirements Engineering Document</t>
  </si>
  <si>
    <t>Campbell/Mackenny</t>
  </si>
  <si>
    <t>Functional requirements</t>
  </si>
  <si>
    <t>Non-functional requirements</t>
  </si>
  <si>
    <t>Assumptions</t>
  </si>
  <si>
    <t>Constraints</t>
  </si>
  <si>
    <t>Design document</t>
  </si>
  <si>
    <t>Chand/Hall</t>
  </si>
  <si>
    <t>System architecture diagram</t>
  </si>
  <si>
    <t>Agent interaction diagram</t>
  </si>
  <si>
    <t>Data model &amp; ERD</t>
  </si>
  <si>
    <t>User flow diagrams</t>
  </si>
  <si>
    <t>Flores</t>
  </si>
  <si>
    <t>Initial UX wireframes</t>
  </si>
  <si>
    <t>GitHub repository created and shared</t>
  </si>
  <si>
    <t>Chand</t>
  </si>
  <si>
    <t>Mock data design documentation</t>
  </si>
  <si>
    <t>Milestone 1 - Requirements and Foundation</t>
  </si>
  <si>
    <t>Milestone 2 - Prototype &amp; Core Features</t>
  </si>
  <si>
    <t>Working multi-agent framework</t>
  </si>
  <si>
    <t>Natural-language question intake</t>
  </si>
  <si>
    <t>Investigation planning and query generation</t>
  </si>
  <si>
    <t>Mock database populated</t>
  </si>
  <si>
    <t>GUI integrated with agents</t>
  </si>
  <si>
    <t>Mid-semester demo</t>
  </si>
  <si>
    <t>Updated documentation</t>
  </si>
  <si>
    <t>Milestone 3 — Final Integrated Prototype</t>
  </si>
  <si>
    <t>End-to-end investigation workflow demo</t>
  </si>
  <si>
    <t>Fully documented GitHub repository</t>
  </si>
  <si>
    <t>Final technical report</t>
  </si>
  <si>
    <t>Final presentation uploaded to GitHub</t>
  </si>
  <si>
    <t>Future roadmap for analytics extensions</t>
  </si>
  <si>
    <t>Professor</t>
  </si>
  <si>
    <t>Sponsor</t>
  </si>
  <si>
    <t>All team members</t>
  </si>
  <si>
    <t>Repository must contain:</t>
  </si>
  <si>
    <t>All source code</t>
  </si>
  <si>
    <t>README with setup instructions</t>
  </si>
  <si>
    <t>Architecture diagrams</t>
  </si>
  <si>
    <t>Requirements documentation</t>
  </si>
  <si>
    <t>ERD and data dictionary</t>
  </si>
  <si>
    <t>Agent design documentation</t>
  </si>
  <si>
    <t>UX wireframes</t>
  </si>
  <si>
    <t>Test scripts (if applicable)</t>
  </si>
  <si>
    <t>All milestone deliverables</t>
  </si>
  <si>
    <t>All presentation decks (PDF/PPTX)</t>
  </si>
  <si>
    <t>Gthub Repo - Share it with:</t>
  </si>
  <si>
    <t>Column1</t>
  </si>
  <si>
    <t>Document Naming</t>
  </si>
  <si>
    <t>Milestone Presentation</t>
  </si>
  <si>
    <t>Meeting Notes</t>
  </si>
  <si>
    <t>Project plan</t>
  </si>
  <si>
    <t>Supplemental Material</t>
  </si>
  <si>
    <t>Mackenny</t>
  </si>
  <si>
    <t>Mackenny/Campbell</t>
  </si>
  <si>
    <t>Henry</t>
  </si>
  <si>
    <t>Hall</t>
  </si>
  <si>
    <t>Campbell</t>
  </si>
  <si>
    <t>Upload Documents</t>
  </si>
  <si>
    <t>Initiation Prep</t>
  </si>
  <si>
    <t>Team Setup and schedule meeting</t>
  </si>
  <si>
    <t>Setup team channel for internal communication setup and setup Jira board</t>
  </si>
  <si>
    <t>Sponsor Meeting</t>
  </si>
  <si>
    <t>Project Plan Development</t>
  </si>
  <si>
    <t>Initialize Github Repository and share it on the project plan</t>
  </si>
  <si>
    <t>Project Plan document creation and Submission</t>
  </si>
  <si>
    <t>Linked In Profile Creation and Submission</t>
  </si>
  <si>
    <t>Configure Python/LangChain/LangGraph Env</t>
  </si>
  <si>
    <t>Develop and build agents that interprets natural language into structured in</t>
  </si>
  <si>
    <t>Develop Website using Streamlit UI where user can chat with the agent</t>
  </si>
  <si>
    <t>Peer Evaluation and PPT Setup</t>
  </si>
  <si>
    <t>Integrate all the components with each other using API</t>
  </si>
  <si>
    <t>Design Working Prototype and Milestone 2 Report</t>
  </si>
  <si>
    <t>Yes</t>
  </si>
  <si>
    <t>Requirements Document</t>
  </si>
  <si>
    <t>Design Documents</t>
  </si>
  <si>
    <t>Additional Material</t>
  </si>
  <si>
    <t>Column Labels</t>
  </si>
  <si>
    <t>Grand Total</t>
  </si>
  <si>
    <t>Row Labels</t>
  </si>
  <si>
    <t>Count of Status</t>
  </si>
  <si>
    <r>
      <t>Based on your project plan format, the current blockers your team is facing (like LLM hallucinations and latency), and the formal requirements specified for your final product, here is a suggested list of items to add for </t>
    </r>
    <r>
      <rPr>
        <b/>
        <sz val="12"/>
        <color rgb="FF000000"/>
        <rFont val="Calibri"/>
        <family val="2"/>
        <scheme val="minor"/>
      </rPr>
      <t>Phase Milestone 3 (Full System Integration)</t>
    </r>
    <r>
      <rPr>
        <sz val="12"/>
        <color rgb="FF000000"/>
        <rFont val="Calibri"/>
        <family val="2"/>
        <scheme val="minor"/>
      </rPr>
      <t>.</t>
    </r>
  </si>
  <si>
    <t>I have formatted this to match the exact table structure used in your "Scrappy Market Project Plan KSU 2026.docx" document, assuming these tasks will take place between the end of Milestone 2 (March 22) and the Milestone 3 deadline (April 14).</t>
  </si>
  <si>
    <t>Suggested Milestone 3 Project Plan Additions</t>
  </si>
  <si>
    <t>Unit Testing</t>
  </si>
  <si>
    <t>Test individual agents and core functions to achieve the required &gt;70% code coverage.</t>
  </si>
  <si>
    <t>Test Results</t>
  </si>
  <si>
    <t>Jenish / Devs</t>
  </si>
  <si>
    <t>Performance &amp; Accuracy Tuning</t>
  </si>
  <si>
    <t>Resolve LLM hallucinations, deduplicate SQL queries, and optimize the 5-minute local latency.</t>
  </si>
  <si>
    <t>Refined Codebase</t>
  </si>
  <si>
    <t>Jenish / Kamran</t>
  </si>
  <si>
    <t>Frontend UI Finalization</t>
  </si>
  <si>
    <t>Finalize Streamlit elements, including implementing dropdowns for SQL code blocks to save screen space.</t>
  </si>
  <si>
    <t>Final UI Code</t>
  </si>
  <si>
    <t>Henry Rondon</t>
  </si>
  <si>
    <t>Vector Database (Stretch Goal)</t>
  </si>
  <si>
    <t>Implement Vector DB for schema context to anchor LLM logic and prevent syntax errors, if time permits.</t>
  </si>
  <si>
    <t>Updated Data Layer</t>
  </si>
  <si>
    <t>Kamran Hall</t>
  </si>
  <si>
    <t>Integration Testing</t>
  </si>
  <si>
    <t>Conduct end-to-end workflow testing from natural language input to the final UI result display.</t>
  </si>
  <si>
    <t>Matt / Campbell</t>
  </si>
  <si>
    <t>Finalize System Documentation</t>
  </si>
  <si>
    <t>Update the Requirements, Design (SAD/AID), and UX documents to reflect the final "as-built" system.</t>
  </si>
  <si>
    <t>Final Documentation</t>
  </si>
  <si>
    <t>Campbell / Matt</t>
  </si>
  <si>
    <t>Demonstration Preparation</t>
  </si>
  <si>
    <t>Prepare the final local environment and ensure the system runs smoothly for the mentor/instructor demo.</t>
  </si>
  <si>
    <t>Working Demo</t>
  </si>
  <si>
    <t>All Team</t>
  </si>
  <si>
    <t>Submit the final code, presentation deck, and documentation to D2L for the April 14th deadline.</t>
  </si>
  <si>
    <t>Milestone 3 Package</t>
  </si>
  <si>
    <t>Why these specific items?</t>
  </si>
  <si>
    <r>
      <t>Performance &amp; Accuracy Tuning:</t>
    </r>
    <r>
      <rPr>
        <sz val="12"/>
        <color rgb="FF000000"/>
        <rFont val="Calibri"/>
        <family val="2"/>
        <scheme val="minor"/>
      </rPr>
      <t> Your meeting notes from early March highlight that you are actively battling LLM hallucinations, duplicate SQL outputs, and severe latency from running the 1.3GB Llama model locally. Resolving these is the biggest hurdle to "closing out" a working project.</t>
    </r>
  </si>
  <si>
    <r>
      <t>Unit &amp; Integration Testing:</t>
    </r>
    <r>
      <rPr>
        <sz val="12"/>
        <color rgb="FF000000"/>
        <rFont val="Calibri"/>
        <family val="2"/>
        <scheme val="minor"/>
      </rPr>
      <t> Your Requirements Specification Document explicitly mandates that unit testing must hit at least 70% coverage and that integration testing must verify the end-to-end workflow.</t>
    </r>
  </si>
  <si>
    <r>
      <t>Vector DB (Stretch Goal):</t>
    </r>
    <r>
      <rPr>
        <sz val="12"/>
        <color rgb="FF000000"/>
        <rFont val="Calibri"/>
        <family val="2"/>
        <scheme val="minor"/>
      </rPr>
      <t> You previously discussed this as a strategy to anchor the LLM, but shelved it for the MVP. Milestone 3 is the time to attempt it if your base integration is stable.</t>
    </r>
  </si>
  <si>
    <r>
      <t>Finalizing Documents:</t>
    </r>
    <r>
      <rPr>
        <sz val="12"/>
        <color rgb="FF000000"/>
        <rFont val="Calibri"/>
        <family val="2"/>
        <scheme val="minor"/>
      </rPr>
      <t> As your UI pivot (to a more minimalist dashboard) and agent logic evolves during coding, your original Milestone 1 design documents will need to be updated to reflect reality before final submission.</t>
    </r>
  </si>
  <si>
    <t>Milestone 3 Mentor Review</t>
  </si>
  <si>
    <t>Final demo and walkthrough</t>
  </si>
  <si>
    <t>Milestone 2 Mentor Review</t>
  </si>
  <si>
    <t>Halfway demo and walkthrough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</si>
</sst>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6"/>
      <color theme="1"/>
      <name val="Calibri"/>
      <family val="2"/>
      <scheme val="minor"/>
    </font>
    <font>
      <sz val="18"/>
      <color theme="1"/>
      <name val="Calibri"/>
      <family val="2"/>
      <scheme val="minor"/>
    </font>
    <font>
      <b/>
      <sz val="16"/>
      <color theme="1"/>
      <name val="Aptos"/>
      <family val="2"/>
      <charset val="1"/>
    </font>
    <font>
      <i/>
      <sz val="16"/>
      <color theme="1"/>
      <name val="Aptos"/>
      <family val="2"/>
      <charset val="1"/>
    </font>
    <font>
      <sz val="16"/>
      <color theme="1"/>
      <name val="Aptos"/>
      <family val="2"/>
      <charset val="1"/>
    </font>
    <font>
      <sz val="16"/>
      <color theme="1"/>
      <name val="Aptos"/>
    </font>
    <font>
      <i/>
      <sz val="16"/>
      <color theme="1"/>
      <name val="Aptos"/>
    </font>
    <font>
      <sz val="12"/>
      <color rgb="FF000000"/>
      <name val="Calibri"/>
      <family val="2"/>
      <scheme val="minor"/>
    </font>
    <font>
      <b/>
      <sz val="12"/>
      <color rgb="FF000000"/>
      <name val="Calibri"/>
      <family val="2"/>
      <scheme val="minor"/>
    </font>
    <font>
      <b/>
      <sz val="13.5"/>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6" fontId="2" fillId="0" borderId="0" xfId="0" applyNumberFormat="1" applyFont="1" applyAlignment="1">
      <alignment horizontal="left" vertical="center"/>
    </xf>
    <xf numFmtId="0" fontId="2" fillId="0" borderId="0" xfId="0" applyFont="1" applyAlignment="1">
      <alignment horizontal="left" vertical="center" wrapText="1"/>
    </xf>
    <xf numFmtId="0" fontId="3" fillId="0" borderId="0" xfId="0" applyFont="1"/>
    <xf numFmtId="0" fontId="1" fillId="0" borderId="0" xfId="0" applyFont="1" applyAlignment="1">
      <alignment vertical="center"/>
    </xf>
    <xf numFmtId="0" fontId="4" fillId="0" borderId="0" xfId="0" applyFont="1" applyAlignment="1">
      <alignment horizontal="left" indent="1"/>
    </xf>
    <xf numFmtId="0" fontId="5" fillId="0" borderId="0" xfId="0" applyFont="1" applyAlignment="1">
      <alignment vertical="center"/>
    </xf>
    <xf numFmtId="0" fontId="3" fillId="0" borderId="0" xfId="0" applyFont="1" applyAlignment="1">
      <alignment horizontal="left" vertical="center" indent="1"/>
    </xf>
    <xf numFmtId="0" fontId="6" fillId="0" borderId="0" xfId="0" applyFont="1" applyAlignment="1">
      <alignment horizontal="left" vertical="center" indent="1"/>
    </xf>
    <xf numFmtId="0" fontId="3" fillId="0" borderId="0" xfId="0" applyFont="1" applyAlignment="1">
      <alignment vertical="center"/>
    </xf>
    <xf numFmtId="0" fontId="6" fillId="0" borderId="0" xfId="0" applyFont="1" applyAlignment="1">
      <alignment horizontal="left" vertical="center" indent="2"/>
    </xf>
    <xf numFmtId="0" fontId="6" fillId="0" borderId="0" xfId="0" applyFont="1"/>
    <xf numFmtId="0" fontId="3" fillId="0" borderId="0" xfId="0" applyFont="1" applyAlignment="1">
      <alignment horizontal="left"/>
    </xf>
    <xf numFmtId="0" fontId="7" fillId="0" borderId="0" xfId="0" applyFont="1" applyAlignment="1">
      <alignment horizontal="left" indent="1"/>
    </xf>
    <xf numFmtId="0" fontId="7" fillId="0" borderId="0" xfId="0" applyFont="1" applyAlignment="1">
      <alignment horizontal="left" vertical="center" indent="1"/>
    </xf>
    <xf numFmtId="0" fontId="0" fillId="0" borderId="0" xfId="0" pivotButton="1"/>
    <xf numFmtId="0" fontId="0" fillId="0" borderId="0" xfId="0" applyAlignment="1">
      <alignment horizontal="center"/>
    </xf>
    <xf numFmtId="0" fontId="8" fillId="0" borderId="0" xfId="0" applyFont="1"/>
    <xf numFmtId="0" fontId="10" fillId="0" borderId="0" xfId="0" applyFont="1"/>
    <xf numFmtId="0" fontId="9" fillId="0" borderId="0" xfId="0" applyFont="1"/>
    <xf numFmtId="16" fontId="8" fillId="0" borderId="0" xfId="0" applyNumberFormat="1" applyFont="1"/>
  </cellXfs>
  <cellStyles count="1">
    <cellStyle name="Normal" xfId="0" builtinId="0"/>
  </cellStyles>
  <dxfs count="20">
    <dxf>
      <font>
        <strike val="0"/>
        <outline val="0"/>
        <shadow val="0"/>
        <u val="none"/>
        <vertAlign val="baseline"/>
        <sz val="16"/>
        <color theme="1"/>
      </font>
    </dxf>
    <dxf>
      <font>
        <strike val="0"/>
        <outline val="0"/>
        <shadow val="0"/>
        <u val="none"/>
        <vertAlign val="baseline"/>
        <sz val="16"/>
        <color theme="1"/>
      </font>
    </dxf>
    <dxf>
      <font>
        <b val="0"/>
        <i val="0"/>
        <strike val="0"/>
        <condense val="0"/>
        <extend val="0"/>
        <outline val="0"/>
        <shadow val="0"/>
        <u val="none"/>
        <vertAlign val="baseline"/>
        <sz val="16"/>
        <color theme="1"/>
        <name val="Calibri"/>
        <family val="2"/>
        <scheme val="minor"/>
      </font>
      <alignment horizontal="general" vertical="center" textRotation="0" wrapText="0" indent="0" justifyLastLine="0" shrinkToFit="0" readingOrder="0"/>
    </dxf>
    <dxf>
      <font>
        <strike val="0"/>
        <outline val="0"/>
        <shadow val="0"/>
        <u val="none"/>
        <vertAlign val="baseline"/>
        <sz val="16"/>
        <color theme="1"/>
      </font>
      <alignment horizontal="general" vertical="center" textRotation="0" wrapText="0" indent="0" justifyLastLine="0" shrinkToFit="0" readingOrder="0"/>
    </dxf>
    <dxf>
      <font>
        <strike val="0"/>
        <outline val="0"/>
        <shadow val="0"/>
        <u val="none"/>
        <vertAlign val="baseline"/>
        <sz val="16"/>
        <color theme="1"/>
      </font>
      <alignment horizontal="general" vertical="center" textRotation="0" wrapText="0" indent="0" justifyLastLine="0" shrinkToFit="0" readingOrder="0"/>
    </dxf>
    <dxf>
      <font>
        <b/>
        <i val="0"/>
        <strike val="0"/>
        <condense val="0"/>
        <extend val="0"/>
        <outline val="0"/>
        <shadow val="0"/>
        <u val="none"/>
        <vertAlign val="baseline"/>
        <sz val="16"/>
        <color theme="1"/>
        <name val="Aptos"/>
        <family val="2"/>
        <charset val="1"/>
        <scheme val="none"/>
      </font>
    </dxf>
    <dxf>
      <font>
        <strike val="0"/>
        <outline val="0"/>
        <shadow val="0"/>
        <u val="none"/>
        <vertAlign val="baseline"/>
        <sz val="16"/>
        <color theme="1"/>
      </font>
    </dxf>
    <dxf>
      <font>
        <strike val="0"/>
        <outline val="0"/>
        <shadow val="0"/>
        <u val="none"/>
        <vertAlign val="baseline"/>
        <sz val="16"/>
        <color theme="1"/>
      </font>
    </dxf>
    <dxf>
      <alignment horizontal="center"/>
    </dxf>
    <dxf>
      <font>
        <strike val="0"/>
        <outline val="0"/>
        <shadow val="0"/>
        <u val="none"/>
        <vertAlign val="baseline"/>
        <sz val="18"/>
        <color theme="1"/>
        <name val="Calibri"/>
        <family val="2"/>
        <scheme val="minor"/>
      </font>
      <alignment horizontal="left" vertical="center" textRotation="0" indent="0" justifyLastLine="0" shrinkToFit="0" readingOrder="0"/>
    </dxf>
    <dxf>
      <font>
        <strike val="0"/>
        <outline val="0"/>
        <shadow val="0"/>
        <u val="none"/>
        <vertAlign val="baseline"/>
        <sz val="18"/>
        <color theme="1"/>
        <name val="Calibri"/>
        <family val="2"/>
        <scheme val="minor"/>
      </font>
      <alignment horizontal="left" vertical="center" textRotation="0" indent="0" justifyLastLine="0" shrinkToFit="0" readingOrder="0"/>
    </dxf>
    <dxf>
      <font>
        <strike val="0"/>
        <outline val="0"/>
        <shadow val="0"/>
        <u val="none"/>
        <vertAlign val="baseline"/>
        <sz val="18"/>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8"/>
        <color theme="1"/>
        <name val="Calibri"/>
        <family val="2"/>
        <scheme val="minor"/>
      </font>
      <alignment horizontal="left" vertical="center" textRotation="0" wrapText="1" indent="0" justifyLastLine="0" shrinkToFit="0" readingOrder="0"/>
    </dxf>
    <dxf>
      <font>
        <strike val="0"/>
        <outline val="0"/>
        <shadow val="0"/>
        <u val="none"/>
        <vertAlign val="baseline"/>
        <sz val="18"/>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8"/>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8"/>
        <color theme="1"/>
        <name val="Calibri"/>
        <family val="2"/>
        <scheme val="minor"/>
      </font>
      <alignment horizontal="left" vertical="center" textRotation="0" indent="0" justifyLastLine="0" shrinkToFit="0" readingOrder="0"/>
    </dxf>
    <dxf>
      <font>
        <strike val="0"/>
        <outline val="0"/>
        <shadow val="0"/>
        <u val="none"/>
        <vertAlign val="baseline"/>
        <sz val="18"/>
        <color theme="1"/>
        <name val="Calibri"/>
        <family val="2"/>
        <scheme val="minor"/>
      </font>
      <alignment horizontal="left" vertical="center" textRotation="0" indent="0" justifyLastLine="0" shrinkToFit="0" readingOrder="0"/>
    </dxf>
    <dxf>
      <font>
        <strike val="0"/>
        <outline val="0"/>
        <shadow val="0"/>
        <u val="none"/>
        <vertAlign val="baseline"/>
        <sz val="18"/>
        <color theme="1"/>
        <name val="Calibri"/>
        <family val="2"/>
        <scheme val="minor"/>
      </font>
      <alignment horizontal="center" vertical="center" textRotation="0" wrapText="0" indent="0" justifyLastLine="0" shrinkToFit="0" readingOrder="0"/>
    </dxf>
    <dxf>
      <font>
        <strike val="0"/>
        <outline val="0"/>
        <shadow val="0"/>
        <u val="none"/>
        <vertAlign val="baseline"/>
        <sz val="18"/>
        <color theme="1"/>
        <name val="Calibri"/>
        <family val="2"/>
        <scheme val="minor"/>
      </font>
    </dxf>
    <dxf>
      <font>
        <strike val="0"/>
        <outline val="0"/>
        <shadow val="0"/>
        <u val="none"/>
        <vertAlign val="baseline"/>
        <sz val="18"/>
        <color theme="1"/>
        <name val="Calibri"/>
        <family val="2"/>
        <scheme val="minor"/>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Mackenny" refreshedDate="46075.401228356481" createdVersion="8" refreshedVersion="8" minRefreshableVersion="3" recordCount="35" xr:uid="{37F65D08-EF36-564D-AEE5-64440E232AEC}">
  <cacheSource type="worksheet">
    <worksheetSource name="Table1"/>
  </cacheSource>
  <cacheFields count="9">
    <cacheField name="#" numFmtId="0">
      <sharedItems containsSemiMixedTypes="0" containsString="0" containsNumber="1" containsInteger="1" minValue="1" maxValue="35"/>
    </cacheField>
    <cacheField name="Phase" numFmtId="0">
      <sharedItems containsBlank="1" count="6">
        <s v="Intiation"/>
        <s v="Milestone 1"/>
        <s v="Milestone 2"/>
        <s v="Milestone 3"/>
        <s v="Project Closing"/>
        <m u="1"/>
      </sharedItems>
    </cacheField>
    <cacheField name="Start Date" numFmtId="16">
      <sharedItems containsNonDate="0" containsDate="1" containsString="0" containsBlank="1" minDate="2026-01-17T00:00:00" maxDate="2026-05-04T00:00:00"/>
    </cacheField>
    <cacheField name="End Date" numFmtId="16">
      <sharedItems containsNonDate="0" containsDate="1" containsString="0" containsBlank="1" minDate="2026-01-19T00:00:00" maxDate="2026-05-04T00:00:00"/>
    </cacheField>
    <cacheField name="Key Activity" numFmtId="0">
      <sharedItems containsBlank="1" count="22">
        <s v="LinkedIn Profile"/>
        <s v="Create a Project Plan"/>
        <s v="Meet Mentor and Determine Schedule"/>
        <s v="Confirm Project URL"/>
        <s v="Create Collaboration Plan"/>
        <s v="Create Communication Plan"/>
        <s v="Review Weekly Log Guide"/>
        <s v="Setup Local Dev Environments"/>
        <s v="Weekly Log Template"/>
        <s v="Create Milestone Report Format"/>
        <s v="Milestone Report #1"/>
        <s v="Formal Requirements Engineering Document"/>
        <s v="Design document"/>
        <s v="Supplemental Material"/>
        <s v="Milestone Report #2"/>
        <s v="TBD"/>
        <s v="Milestone Report #3"/>
        <s v="Final Project Report Guide"/>
        <s v="Project Deliverable Package to Project Owner"/>
        <s v="Final Project Report"/>
        <s v="Peer Evaluation Submission"/>
        <m u="1"/>
      </sharedItems>
    </cacheField>
    <cacheField name="Details" numFmtId="0">
      <sharedItems containsBlank="1"/>
    </cacheField>
    <cacheField name="Deliverable" numFmtId="0">
      <sharedItems containsBlank="1"/>
    </cacheField>
    <cacheField name="Owner" numFmtId="0">
      <sharedItems containsBlank="1"/>
    </cacheField>
    <cacheField name="Status" numFmtId="0">
      <sharedItems count="2">
        <s v="Complete"/>
        <s v="Not Start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d v="2026-01-17T00:00:00"/>
    <d v="2026-01-25T00:00:00"/>
    <x v="0"/>
    <s v="Upload Your Professional Profile"/>
    <s v="Create and Upload LinkedIn URL"/>
    <s v="All"/>
    <x v="0"/>
  </r>
  <r>
    <n v="2"/>
    <x v="0"/>
    <d v="2026-01-17T00:00:00"/>
    <d v="2026-01-25T00:00:00"/>
    <x v="1"/>
    <s v="Build a plan to support the capstone. Continue to review weekly and update"/>
    <s v="Project Plan"/>
    <m/>
    <x v="0"/>
  </r>
  <r>
    <n v="3"/>
    <x v="0"/>
    <d v="2026-01-19T00:00:00"/>
    <d v="2026-01-19T00:00:00"/>
    <x v="2"/>
    <s v="Meet Mentor and align on ongoing meeting timing"/>
    <m/>
    <m/>
    <x v="0"/>
  </r>
  <r>
    <n v="4"/>
    <x v="0"/>
    <d v="2026-01-17T00:00:00"/>
    <d v="2026-01-25T00:00:00"/>
    <x v="3"/>
    <s v="URL to showcase the project work and effort"/>
    <s v="Project URL"/>
    <m/>
    <x v="0"/>
  </r>
  <r>
    <n v="5"/>
    <x v="0"/>
    <d v="2026-01-17T00:00:00"/>
    <d v="2026-01-25T00:00:00"/>
    <x v="4"/>
    <s v="Describe how we will work together successfully and deliver on the outcomes of the Capstone."/>
    <s v="Collaboration Plan"/>
    <m/>
    <x v="0"/>
  </r>
  <r>
    <n v="6"/>
    <x v="0"/>
    <d v="2026-01-17T00:00:00"/>
    <d v="2026-01-25T00:00:00"/>
    <x v="5"/>
    <s v="Describe how we will communicate as a team, with academic leadership, and the mentor. When, what, and how."/>
    <s v="Communication Plan"/>
    <m/>
    <x v="0"/>
  </r>
  <r>
    <n v="7"/>
    <x v="0"/>
    <d v="2026-01-26T00:00:00"/>
    <d v="2026-02-01T00:00:00"/>
    <x v="6"/>
    <s v="Review and align as a team on the weekly log"/>
    <m/>
    <m/>
    <x v="0"/>
  </r>
  <r>
    <n v="8"/>
    <x v="0"/>
    <d v="2026-01-17T00:00:00"/>
    <d v="2026-01-25T00:00:00"/>
    <x v="7"/>
    <s v="Setup Langchain, Python etc."/>
    <m/>
    <m/>
    <x v="0"/>
  </r>
  <r>
    <n v="9"/>
    <x v="1"/>
    <d v="2026-01-26T00:00:00"/>
    <d v="2026-02-01T00:00:00"/>
    <x v="8"/>
    <s v="Build a template for us to use to report on our ongoing work, effort and progress. Tied to the collaboration and communication plan"/>
    <s v="Weekly Log Template"/>
    <m/>
    <x v="0"/>
  </r>
  <r>
    <n v="10"/>
    <x v="1"/>
    <d v="2026-01-26T00:00:00"/>
    <d v="2026-02-01T00:00:00"/>
    <x v="9"/>
    <s v="Build and align on a Powerpoint Template to report out milestone progress to our mentor and acadamic leadership"/>
    <s v="Milestone Report Template"/>
    <m/>
    <x v="0"/>
  </r>
  <r>
    <n v="11"/>
    <x v="1"/>
    <d v="2026-02-02T00:00:00"/>
    <d v="2026-02-22T00:00:00"/>
    <x v="10"/>
    <s v="First Milestone Report on progress to achieve the capstone"/>
    <s v="Milestone Report 1"/>
    <m/>
    <x v="0"/>
  </r>
  <r>
    <n v="12"/>
    <x v="1"/>
    <d v="2026-02-02T00:00:00"/>
    <d v="2026-02-22T00:00:00"/>
    <x v="11"/>
    <s v="Functional requirements"/>
    <s v="Requirements Document"/>
    <m/>
    <x v="0"/>
  </r>
  <r>
    <n v="13"/>
    <x v="1"/>
    <m/>
    <m/>
    <x v="11"/>
    <s v="Non-functional requirements"/>
    <s v="Requirements Document"/>
    <m/>
    <x v="0"/>
  </r>
  <r>
    <n v="14"/>
    <x v="1"/>
    <m/>
    <m/>
    <x v="11"/>
    <s v="Assumptions"/>
    <s v="Requirements Document"/>
    <m/>
    <x v="0"/>
  </r>
  <r>
    <n v="15"/>
    <x v="1"/>
    <m/>
    <m/>
    <x v="11"/>
    <s v="Constraints"/>
    <s v="Requirements Document"/>
    <m/>
    <x v="0"/>
  </r>
  <r>
    <n v="16"/>
    <x v="1"/>
    <d v="2026-02-02T00:00:00"/>
    <d v="2026-02-22T00:00:00"/>
    <x v="12"/>
    <s v="System architecture diagram"/>
    <s v="Design Documents"/>
    <m/>
    <x v="0"/>
  </r>
  <r>
    <n v="17"/>
    <x v="1"/>
    <m/>
    <m/>
    <x v="12"/>
    <s v="Agent interaction diagram"/>
    <s v="Design Documents"/>
    <m/>
    <x v="0"/>
  </r>
  <r>
    <n v="18"/>
    <x v="1"/>
    <m/>
    <m/>
    <x v="12"/>
    <s v="Data model &amp; ERD"/>
    <s v="Design Documents"/>
    <m/>
    <x v="0"/>
  </r>
  <r>
    <n v="19"/>
    <x v="1"/>
    <m/>
    <m/>
    <x v="12"/>
    <s v="User flow diagrams"/>
    <s v="Design Documents"/>
    <m/>
    <x v="0"/>
  </r>
  <r>
    <n v="20"/>
    <x v="1"/>
    <m/>
    <m/>
    <x v="12"/>
    <s v="Initial UX wireframes"/>
    <s v="Design Documents"/>
    <m/>
    <x v="0"/>
  </r>
  <r>
    <n v="21"/>
    <x v="1"/>
    <d v="2026-02-02T00:00:00"/>
    <d v="2026-02-22T00:00:00"/>
    <x v="13"/>
    <s v="Project plan"/>
    <s v="Additional Material"/>
    <m/>
    <x v="0"/>
  </r>
  <r>
    <n v="22"/>
    <x v="1"/>
    <m/>
    <m/>
    <x v="13"/>
    <s v="GitHub repository created and shared"/>
    <s v="Additional Material"/>
    <m/>
    <x v="0"/>
  </r>
  <r>
    <n v="23"/>
    <x v="1"/>
    <m/>
    <m/>
    <x v="13"/>
    <s v="README with setup instructions"/>
    <s v="Additional Material"/>
    <m/>
    <x v="0"/>
  </r>
  <r>
    <n v="24"/>
    <x v="1"/>
    <m/>
    <m/>
    <x v="13"/>
    <s v="Mock data design documentation"/>
    <s v="Additional Material"/>
    <m/>
    <x v="0"/>
  </r>
  <r>
    <n v="25"/>
    <x v="1"/>
    <m/>
    <m/>
    <x v="13"/>
    <s v="Milestone Presentation"/>
    <s v="Additional Material"/>
    <m/>
    <x v="0"/>
  </r>
  <r>
    <n v="26"/>
    <x v="1"/>
    <m/>
    <m/>
    <x v="13"/>
    <s v="Meeting Notes"/>
    <s v="Additional Material"/>
    <m/>
    <x v="0"/>
  </r>
  <r>
    <n v="27"/>
    <x v="1"/>
    <m/>
    <m/>
    <x v="13"/>
    <s v="Upload Documents"/>
    <s v="Additional Material"/>
    <m/>
    <x v="0"/>
  </r>
  <r>
    <n v="28"/>
    <x v="2"/>
    <d v="2026-02-23T00:00:00"/>
    <d v="2026-03-22T00:00:00"/>
    <x v="14"/>
    <s v="Second Milestone Report on progress to achieve the capstone"/>
    <s v="Milestone Report 2"/>
    <m/>
    <x v="1"/>
  </r>
  <r>
    <n v="29"/>
    <x v="2"/>
    <m/>
    <m/>
    <x v="15"/>
    <m/>
    <m/>
    <m/>
    <x v="1"/>
  </r>
  <r>
    <n v="30"/>
    <x v="3"/>
    <d v="2026-03-22T00:00:00"/>
    <d v="2026-04-19T00:00:00"/>
    <x v="16"/>
    <s v="Third Milestone Report on progress to achieve the capstone"/>
    <s v="Milestone Report 3"/>
    <m/>
    <x v="1"/>
  </r>
  <r>
    <n v="31"/>
    <x v="3"/>
    <m/>
    <m/>
    <x v="15"/>
    <m/>
    <m/>
    <m/>
    <x v="1"/>
  </r>
  <r>
    <n v="32"/>
    <x v="4"/>
    <d v="2026-04-20T00:00:00"/>
    <d v="2026-04-26T00:00:00"/>
    <x v="17"/>
    <s v="Review final reporting guidelines and expectations"/>
    <m/>
    <m/>
    <x v="1"/>
  </r>
  <r>
    <n v="33"/>
    <x v="4"/>
    <d v="2026-04-20T00:00:00"/>
    <d v="2026-04-26T00:00:00"/>
    <x v="18"/>
    <s v="Package up all deliverables and share to the project owner"/>
    <s v="Project Deliverables Package"/>
    <m/>
    <x v="1"/>
  </r>
  <r>
    <n v="34"/>
    <x v="4"/>
    <d v="2026-04-27T00:00:00"/>
    <d v="2026-05-03T00:00:00"/>
    <x v="19"/>
    <s v="Create the final project report for the capstone"/>
    <s v="Project Report"/>
    <m/>
    <x v="1"/>
  </r>
  <r>
    <n v="35"/>
    <x v="4"/>
    <d v="2026-05-03T00:00:00"/>
    <d v="2026-05-03T00:00:00"/>
    <x v="20"/>
    <s v="Submit your evaluation of your peers"/>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DEBA76-D4DB-9F47-8618-C0FF9B37E6C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H8" firstHeaderRow="1" firstDataRow="2" firstDataCol="1"/>
  <pivotFields count="9">
    <pivotField showAll="0"/>
    <pivotField axis="axisCol" showAll="0">
      <items count="7">
        <item x="0"/>
        <item x="1"/>
        <item x="2"/>
        <item x="3"/>
        <item x="4"/>
        <item m="1" x="5"/>
        <item t="default"/>
      </items>
    </pivotField>
    <pivotField showAll="0"/>
    <pivotField showAll="0"/>
    <pivotField showAll="0">
      <items count="23">
        <item x="3"/>
        <item x="1"/>
        <item x="4"/>
        <item x="5"/>
        <item x="9"/>
        <item x="12"/>
        <item x="19"/>
        <item x="17"/>
        <item x="11"/>
        <item x="0"/>
        <item x="2"/>
        <item x="10"/>
        <item x="14"/>
        <item x="16"/>
        <item x="20"/>
        <item x="18"/>
        <item x="6"/>
        <item x="7"/>
        <item x="13"/>
        <item x="15"/>
        <item x="8"/>
        <item m="1" x="21"/>
        <item t="default"/>
      </items>
    </pivotField>
    <pivotField showAll="0"/>
    <pivotField showAll="0"/>
    <pivotField showAll="0"/>
    <pivotField axis="axisRow" dataField="1" showAll="0">
      <items count="3">
        <item x="0"/>
        <item x="1"/>
        <item t="default"/>
      </items>
    </pivotField>
  </pivotFields>
  <rowFields count="1">
    <field x="8"/>
  </rowFields>
  <rowItems count="3">
    <i>
      <x/>
    </i>
    <i>
      <x v="1"/>
    </i>
    <i t="grand">
      <x/>
    </i>
  </rowItems>
  <colFields count="1">
    <field x="1"/>
  </colFields>
  <colItems count="6">
    <i>
      <x/>
    </i>
    <i>
      <x v="1"/>
    </i>
    <i>
      <x v="2"/>
    </i>
    <i>
      <x v="3"/>
    </i>
    <i>
      <x v="4"/>
    </i>
    <i t="grand">
      <x/>
    </i>
  </colItems>
  <dataFields count="1">
    <dataField name="Count of Status" fld="8"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BF87C1-0C91-DE43-9371-C5F7CCECB82D}" name="Table1" displayName="Table1" ref="A1:I44" totalsRowShown="0" headerRowDxfId="19" dataDxfId="18">
  <autoFilter ref="A1:I44" xr:uid="{F4BF87C1-0C91-DE43-9371-C5F7CCECB82D}"/>
  <tableColumns count="9">
    <tableColumn id="1" xr3:uid="{6908C51F-FD09-7947-A1A0-8C0654D4E95A}" name="#" dataDxfId="17"/>
    <tableColumn id="2" xr3:uid="{1A95A11F-C347-6649-998A-5E7AA524205D}" name="Phase" dataDxfId="16"/>
    <tableColumn id="8" xr3:uid="{6420C2D3-EF99-BD49-BC23-0BB1F061AA51}" name="Start Date" dataDxfId="15"/>
    <tableColumn id="9" xr3:uid="{CAAB2ABA-E03A-2445-97D4-66A2AA415EC6}" name="End Date" dataDxfId="14"/>
    <tableColumn id="4" xr3:uid="{D940E28C-1D28-D94F-BB38-BD4C94738CBE}" name="Key Activity" dataDxfId="13"/>
    <tableColumn id="10" xr3:uid="{B66D88F6-55D4-1C43-BEF9-7BD5775D5A35}" name="Details" dataDxfId="12"/>
    <tableColumn id="5" xr3:uid="{A227BE98-B948-5042-A097-C395B4F46E5C}" name="Deliverable" dataDxfId="11"/>
    <tableColumn id="6" xr3:uid="{9D692A9E-6F87-994B-BAD5-B8A63F52F71B}" name="Owner" dataDxfId="10"/>
    <tableColumn id="7" xr3:uid="{33994E12-38C9-1942-A7C6-445224D89357}" name="Status"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4AE685-E419-4C29-8FDE-27B79CDB3E80}" name="Table2" displayName="Table2" ref="A1:F64" totalsRowShown="0" headerRowDxfId="7" dataDxfId="6">
  <autoFilter ref="A1:F64" xr:uid="{724AE685-E419-4C29-8FDE-27B79CDB3E80}"/>
  <tableColumns count="6">
    <tableColumn id="1" xr3:uid="{5A8850ED-9A1B-4CB0-9B60-6A52A1C1752A}" name="Activity" dataDxfId="5"/>
    <tableColumn id="2" xr3:uid="{81BB307D-BB2D-47FB-86F1-E1E0BEB2C31A}" name="Complete" dataDxfId="4"/>
    <tableColumn id="3" xr3:uid="{0A3D73B1-2FD0-4FC8-8F16-1BC432B7CDA5}" name="Reviewed" dataDxfId="3"/>
    <tableColumn id="5" xr3:uid="{6A55538C-A956-5845-BAA7-302372EF20ED}" name="Responsible" dataDxfId="2"/>
    <tableColumn id="4" xr3:uid="{740D5A80-D49D-4C3C-9D36-1FC2F7BD863A}" name="Document Naming" dataDxfId="1"/>
    <tableColumn id="6" xr3:uid="{A595840B-82DF-1147-860A-5F0A14853540}"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8E1FB-183B-CF49-855E-2D48B53C1640}">
  <dimension ref="B4:H8"/>
  <sheetViews>
    <sheetView workbookViewId="0">
      <selection activeCell="B11" sqref="B11"/>
    </sheetView>
  </sheetViews>
  <sheetFormatPr baseColWidth="10" defaultRowHeight="16" x14ac:dyDescent="0.2"/>
  <cols>
    <col min="2" max="2" width="13.6640625" bestFit="1" customWidth="1"/>
    <col min="3" max="3" width="15.5" bestFit="1" customWidth="1"/>
    <col min="4" max="6" width="10.83203125" bestFit="1" customWidth="1"/>
    <col min="7" max="7" width="13.1640625" bestFit="1" customWidth="1"/>
    <col min="8" max="8" width="10.83203125" bestFit="1" customWidth="1"/>
  </cols>
  <sheetData>
    <row r="4" spans="2:8" x14ac:dyDescent="0.2">
      <c r="B4" s="21" t="s">
        <v>148</v>
      </c>
      <c r="C4" s="21" t="s">
        <v>145</v>
      </c>
    </row>
    <row r="5" spans="2:8" x14ac:dyDescent="0.2">
      <c r="B5" s="21" t="s">
        <v>147</v>
      </c>
      <c r="C5" t="s">
        <v>9</v>
      </c>
      <c r="D5" t="s">
        <v>37</v>
      </c>
      <c r="E5" t="s">
        <v>46</v>
      </c>
      <c r="F5" t="s">
        <v>50</v>
      </c>
      <c r="G5" t="s">
        <v>54</v>
      </c>
      <c r="H5" t="s">
        <v>146</v>
      </c>
    </row>
    <row r="6" spans="2:8" x14ac:dyDescent="0.2">
      <c r="B6" s="3" t="s">
        <v>28</v>
      </c>
      <c r="C6" s="22">
        <v>8</v>
      </c>
      <c r="D6" s="22">
        <v>19</v>
      </c>
      <c r="E6" s="22"/>
      <c r="F6" s="22"/>
      <c r="G6" s="22"/>
      <c r="H6" s="22">
        <v>27</v>
      </c>
    </row>
    <row r="7" spans="2:8" x14ac:dyDescent="0.2">
      <c r="B7" s="3" t="s">
        <v>15</v>
      </c>
      <c r="C7" s="22"/>
      <c r="D7" s="22"/>
      <c r="E7" s="22">
        <v>2</v>
      </c>
      <c r="F7" s="22">
        <v>2</v>
      </c>
      <c r="G7" s="22">
        <v>4</v>
      </c>
      <c r="H7" s="22">
        <v>8</v>
      </c>
    </row>
    <row r="8" spans="2:8" x14ac:dyDescent="0.2">
      <c r="B8" s="3" t="s">
        <v>146</v>
      </c>
      <c r="C8" s="22">
        <v>8</v>
      </c>
      <c r="D8" s="22">
        <v>19</v>
      </c>
      <c r="E8" s="22">
        <v>2</v>
      </c>
      <c r="F8" s="22">
        <v>2</v>
      </c>
      <c r="G8" s="22">
        <v>4</v>
      </c>
      <c r="H8" s="22">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1A53-0D5C-2C49-A5C7-F6B850D6C1CA}">
  <dimension ref="A1:I22"/>
  <sheetViews>
    <sheetView workbookViewId="0">
      <selection activeCell="E8" sqref="E8:G15"/>
    </sheetView>
  </sheetViews>
  <sheetFormatPr baseColWidth="10" defaultRowHeight="16" x14ac:dyDescent="0.2"/>
  <cols>
    <col min="5" max="5" width="27.83203125" bestFit="1" customWidth="1"/>
    <col min="6" max="6" width="90.33203125" bestFit="1" customWidth="1"/>
    <col min="7" max="7" width="18.33203125" bestFit="1" customWidth="1"/>
    <col min="8" max="8" width="14.6640625" bestFit="1" customWidth="1"/>
    <col min="9" max="9" width="10.6640625" bestFit="1" customWidth="1"/>
  </cols>
  <sheetData>
    <row r="1" spans="1:9" x14ac:dyDescent="0.2">
      <c r="A1" s="23" t="s">
        <v>149</v>
      </c>
    </row>
    <row r="3" spans="1:9" x14ac:dyDescent="0.2">
      <c r="A3" s="23" t="s">
        <v>150</v>
      </c>
    </row>
    <row r="5" spans="1:9" ht="19" x14ac:dyDescent="0.25">
      <c r="A5" s="24" t="s">
        <v>151</v>
      </c>
    </row>
    <row r="7" spans="1:9" x14ac:dyDescent="0.2">
      <c r="A7" s="25" t="s">
        <v>0</v>
      </c>
      <c r="B7" s="25" t="s">
        <v>1</v>
      </c>
      <c r="C7" s="25" t="s">
        <v>2</v>
      </c>
      <c r="D7" s="25" t="s">
        <v>3</v>
      </c>
      <c r="E7" s="25" t="s">
        <v>4</v>
      </c>
      <c r="F7" s="25" t="s">
        <v>5</v>
      </c>
      <c r="G7" s="25" t="s">
        <v>6</v>
      </c>
      <c r="H7" s="25" t="s">
        <v>7</v>
      </c>
      <c r="I7" s="25" t="s">
        <v>8</v>
      </c>
    </row>
    <row r="8" spans="1:9" x14ac:dyDescent="0.2">
      <c r="A8" s="23">
        <v>29</v>
      </c>
      <c r="B8" s="23" t="s">
        <v>50</v>
      </c>
      <c r="C8" s="26">
        <v>46104</v>
      </c>
      <c r="D8" s="26">
        <v>46110</v>
      </c>
      <c r="E8" s="25" t="s">
        <v>152</v>
      </c>
      <c r="F8" s="23" t="s">
        <v>153</v>
      </c>
      <c r="G8" s="23" t="s">
        <v>154</v>
      </c>
      <c r="H8" s="23" t="s">
        <v>155</v>
      </c>
      <c r="I8" s="23" t="s">
        <v>15</v>
      </c>
    </row>
    <row r="9" spans="1:9" x14ac:dyDescent="0.2">
      <c r="A9" s="23">
        <v>30</v>
      </c>
      <c r="B9" s="23" t="s">
        <v>50</v>
      </c>
      <c r="C9" s="26">
        <v>46104</v>
      </c>
      <c r="D9" s="26">
        <v>46117</v>
      </c>
      <c r="E9" s="25" t="s">
        <v>156</v>
      </c>
      <c r="F9" s="23" t="s">
        <v>157</v>
      </c>
      <c r="G9" s="23" t="s">
        <v>158</v>
      </c>
      <c r="H9" s="23" t="s">
        <v>159</v>
      </c>
      <c r="I9" s="23" t="s">
        <v>15</v>
      </c>
    </row>
    <row r="10" spans="1:9" x14ac:dyDescent="0.2">
      <c r="A10" s="23">
        <v>31</v>
      </c>
      <c r="B10" s="23" t="s">
        <v>50</v>
      </c>
      <c r="C10" s="26">
        <v>46104</v>
      </c>
      <c r="D10" s="26">
        <v>46117</v>
      </c>
      <c r="E10" s="25" t="s">
        <v>160</v>
      </c>
      <c r="F10" s="23" t="s">
        <v>161</v>
      </c>
      <c r="G10" s="23" t="s">
        <v>162</v>
      </c>
      <c r="H10" s="23" t="s">
        <v>163</v>
      </c>
      <c r="I10" s="23" t="s">
        <v>15</v>
      </c>
    </row>
    <row r="11" spans="1:9" x14ac:dyDescent="0.2">
      <c r="A11" s="23">
        <v>32</v>
      </c>
      <c r="B11" s="23" t="s">
        <v>50</v>
      </c>
      <c r="C11" s="26">
        <v>46111</v>
      </c>
      <c r="D11" s="26">
        <v>46117</v>
      </c>
      <c r="E11" s="25" t="s">
        <v>164</v>
      </c>
      <c r="F11" s="23" t="s">
        <v>165</v>
      </c>
      <c r="G11" s="23" t="s">
        <v>166</v>
      </c>
      <c r="H11" s="23" t="s">
        <v>167</v>
      </c>
      <c r="I11" s="23" t="s">
        <v>15</v>
      </c>
    </row>
    <row r="12" spans="1:9" x14ac:dyDescent="0.2">
      <c r="A12" s="23">
        <v>33</v>
      </c>
      <c r="B12" s="23" t="s">
        <v>50</v>
      </c>
      <c r="C12" s="26">
        <v>46111</v>
      </c>
      <c r="D12" s="26">
        <v>46120</v>
      </c>
      <c r="E12" s="25" t="s">
        <v>168</v>
      </c>
      <c r="F12" s="23" t="s">
        <v>169</v>
      </c>
      <c r="G12" s="23" t="s">
        <v>154</v>
      </c>
      <c r="H12" s="23" t="s">
        <v>170</v>
      </c>
      <c r="I12" s="23" t="s">
        <v>15</v>
      </c>
    </row>
    <row r="13" spans="1:9" x14ac:dyDescent="0.2">
      <c r="A13" s="23">
        <v>34</v>
      </c>
      <c r="B13" s="23" t="s">
        <v>50</v>
      </c>
      <c r="C13" s="26">
        <v>46118</v>
      </c>
      <c r="D13" s="26">
        <v>46124</v>
      </c>
      <c r="E13" s="25" t="s">
        <v>171</v>
      </c>
      <c r="F13" s="23" t="s">
        <v>172</v>
      </c>
      <c r="G13" s="23" t="s">
        <v>173</v>
      </c>
      <c r="H13" s="23" t="s">
        <v>174</v>
      </c>
      <c r="I13" s="23" t="s">
        <v>15</v>
      </c>
    </row>
    <row r="14" spans="1:9" x14ac:dyDescent="0.2">
      <c r="A14" s="23">
        <v>35</v>
      </c>
      <c r="B14" s="23" t="s">
        <v>50</v>
      </c>
      <c r="C14" s="26">
        <v>46118</v>
      </c>
      <c r="D14" s="26">
        <v>46124</v>
      </c>
      <c r="E14" s="25" t="s">
        <v>175</v>
      </c>
      <c r="F14" s="23" t="s">
        <v>176</v>
      </c>
      <c r="G14" s="23" t="s">
        <v>177</v>
      </c>
      <c r="H14" s="23" t="s">
        <v>178</v>
      </c>
      <c r="I14" s="23" t="s">
        <v>15</v>
      </c>
    </row>
    <row r="15" spans="1:9" x14ac:dyDescent="0.2">
      <c r="A15" s="23">
        <v>36</v>
      </c>
      <c r="B15" s="23" t="s">
        <v>50</v>
      </c>
      <c r="C15" s="26">
        <v>46124</v>
      </c>
      <c r="D15" s="26">
        <v>46126</v>
      </c>
      <c r="E15" s="25" t="s">
        <v>126</v>
      </c>
      <c r="F15" s="23" t="s">
        <v>179</v>
      </c>
      <c r="G15" s="23" t="s">
        <v>180</v>
      </c>
      <c r="H15" s="23" t="s">
        <v>178</v>
      </c>
      <c r="I15" s="23" t="s">
        <v>15</v>
      </c>
    </row>
    <row r="17" spans="1:1" ht="19" x14ac:dyDescent="0.25">
      <c r="A17" s="24" t="s">
        <v>181</v>
      </c>
    </row>
    <row r="19" spans="1:1" x14ac:dyDescent="0.2">
      <c r="A19" s="25" t="s">
        <v>182</v>
      </c>
    </row>
    <row r="20" spans="1:1" x14ac:dyDescent="0.2">
      <c r="A20" s="25" t="s">
        <v>183</v>
      </c>
    </row>
    <row r="21" spans="1:1" x14ac:dyDescent="0.2">
      <c r="A21" s="25" t="s">
        <v>184</v>
      </c>
    </row>
    <row r="22" spans="1:1" x14ac:dyDescent="0.2">
      <c r="A22" s="25"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1D9E-540B-C844-A549-35CA45EDC058}">
  <dimension ref="A1:M47"/>
  <sheetViews>
    <sheetView tabSelected="1" workbookViewId="0">
      <pane xSplit="2" ySplit="1" topLeftCell="C2" activePane="bottomRight" state="frozen"/>
      <selection pane="topRight" activeCell="C1" sqref="C1"/>
      <selection pane="bottomLeft" activeCell="A2" sqref="A2"/>
      <selection pane="bottomRight" activeCell="D7" sqref="D7"/>
    </sheetView>
  </sheetViews>
  <sheetFormatPr baseColWidth="10" defaultColWidth="11" defaultRowHeight="15.75" customHeight="1" x14ac:dyDescent="0.2"/>
  <cols>
    <col min="1" max="1" width="8" style="4" bestFit="1" customWidth="1"/>
    <col min="2" max="2" width="23.33203125" customWidth="1"/>
    <col min="3" max="4" width="20.83203125" customWidth="1"/>
    <col min="5" max="5" width="57.33203125" customWidth="1"/>
    <col min="6" max="6" width="63.83203125" style="2" customWidth="1"/>
    <col min="7" max="7" width="41.5" bestFit="1" customWidth="1"/>
    <col min="8" max="8" width="12.33203125" bestFit="1" customWidth="1"/>
    <col min="9" max="9" width="18.83203125" customWidth="1"/>
  </cols>
  <sheetData>
    <row r="1" spans="1:13" ht="25" x14ac:dyDescent="0.2">
      <c r="A1" s="5" t="s">
        <v>0</v>
      </c>
      <c r="B1" s="6" t="s">
        <v>1</v>
      </c>
      <c r="C1" s="6" t="s">
        <v>2</v>
      </c>
      <c r="D1" s="6" t="s">
        <v>3</v>
      </c>
      <c r="E1" s="6" t="s">
        <v>4</v>
      </c>
      <c r="F1" s="8" t="s">
        <v>5</v>
      </c>
      <c r="G1" s="6" t="s">
        <v>6</v>
      </c>
      <c r="H1" s="6" t="s">
        <v>7</v>
      </c>
      <c r="I1" s="6" t="s">
        <v>8</v>
      </c>
      <c r="M1" t="s">
        <v>8</v>
      </c>
    </row>
    <row r="2" spans="1:13" ht="25" x14ac:dyDescent="0.2">
      <c r="A2" s="5">
        <v>1</v>
      </c>
      <c r="B2" s="6" t="s">
        <v>9</v>
      </c>
      <c r="C2" s="7">
        <v>46039</v>
      </c>
      <c r="D2" s="7">
        <v>46047</v>
      </c>
      <c r="E2" s="6" t="s">
        <v>10</v>
      </c>
      <c r="F2" s="8" t="s">
        <v>11</v>
      </c>
      <c r="G2" s="6" t="s">
        <v>12</v>
      </c>
      <c r="H2" s="6" t="s">
        <v>13</v>
      </c>
      <c r="I2" s="6" t="s">
        <v>28</v>
      </c>
      <c r="M2" t="s">
        <v>15</v>
      </c>
    </row>
    <row r="3" spans="1:13" ht="50" x14ac:dyDescent="0.2">
      <c r="A3" s="5">
        <f>A2+1</f>
        <v>2</v>
      </c>
      <c r="B3" s="6" t="s">
        <v>9</v>
      </c>
      <c r="C3" s="7">
        <v>46039</v>
      </c>
      <c r="D3" s="7">
        <v>46047</v>
      </c>
      <c r="E3" s="6" t="s">
        <v>16</v>
      </c>
      <c r="F3" s="8" t="s">
        <v>17</v>
      </c>
      <c r="G3" s="6" t="s">
        <v>18</v>
      </c>
      <c r="H3" s="6"/>
      <c r="I3" s="6" t="s">
        <v>28</v>
      </c>
      <c r="M3" t="s">
        <v>14</v>
      </c>
    </row>
    <row r="4" spans="1:13" ht="25" x14ac:dyDescent="0.2">
      <c r="A4" s="5">
        <f>A3+1</f>
        <v>3</v>
      </c>
      <c r="B4" s="6" t="s">
        <v>9</v>
      </c>
      <c r="C4" s="7">
        <v>46041</v>
      </c>
      <c r="D4" s="7">
        <v>46041</v>
      </c>
      <c r="E4" s="6" t="s">
        <v>19</v>
      </c>
      <c r="F4" s="8" t="s">
        <v>20</v>
      </c>
      <c r="G4" s="6"/>
      <c r="H4" s="6"/>
      <c r="I4" s="6" t="s">
        <v>28</v>
      </c>
    </row>
    <row r="5" spans="1:13" ht="25" x14ac:dyDescent="0.2">
      <c r="A5" s="5">
        <f>A4+1</f>
        <v>4</v>
      </c>
      <c r="B5" s="6" t="s">
        <v>9</v>
      </c>
      <c r="C5" s="7">
        <v>46039</v>
      </c>
      <c r="D5" s="7">
        <v>46047</v>
      </c>
      <c r="E5" s="6" t="s">
        <v>21</v>
      </c>
      <c r="F5" s="8" t="s">
        <v>22</v>
      </c>
      <c r="G5" s="6" t="s">
        <v>23</v>
      </c>
      <c r="H5" s="6"/>
      <c r="I5" s="6" t="s">
        <v>28</v>
      </c>
      <c r="M5" t="s">
        <v>24</v>
      </c>
    </row>
    <row r="6" spans="1:13" ht="50" x14ac:dyDescent="0.2">
      <c r="A6" s="5">
        <f t="shared" ref="A6:A44" si="0">A5+1</f>
        <v>5</v>
      </c>
      <c r="B6" s="6" t="s">
        <v>9</v>
      </c>
      <c r="C6" s="7">
        <v>46039</v>
      </c>
      <c r="D6" s="7">
        <v>46047</v>
      </c>
      <c r="E6" s="6" t="s">
        <v>25</v>
      </c>
      <c r="F6" s="8" t="s">
        <v>26</v>
      </c>
      <c r="G6" s="6" t="s">
        <v>27</v>
      </c>
      <c r="H6" s="6"/>
      <c r="I6" s="6" t="s">
        <v>28</v>
      </c>
      <c r="M6" t="s">
        <v>28</v>
      </c>
    </row>
    <row r="7" spans="1:13" ht="75" x14ac:dyDescent="0.2">
      <c r="A7" s="5">
        <f t="shared" si="0"/>
        <v>6</v>
      </c>
      <c r="B7" s="6" t="s">
        <v>9</v>
      </c>
      <c r="C7" s="7">
        <v>46039</v>
      </c>
      <c r="D7" s="7">
        <v>46047</v>
      </c>
      <c r="E7" s="6" t="s">
        <v>29</v>
      </c>
      <c r="F7" s="8" t="s">
        <v>30</v>
      </c>
      <c r="G7" s="6" t="s">
        <v>31</v>
      </c>
      <c r="H7" s="6"/>
      <c r="I7" s="6" t="s">
        <v>28</v>
      </c>
      <c r="M7" t="s">
        <v>32</v>
      </c>
    </row>
    <row r="8" spans="1:13" ht="25" x14ac:dyDescent="0.2">
      <c r="A8" s="5">
        <f t="shared" si="0"/>
        <v>7</v>
      </c>
      <c r="B8" s="6" t="s">
        <v>9</v>
      </c>
      <c r="C8" s="7">
        <v>46048</v>
      </c>
      <c r="D8" s="7">
        <v>46054</v>
      </c>
      <c r="E8" s="6" t="s">
        <v>33</v>
      </c>
      <c r="F8" s="8" t="s">
        <v>34</v>
      </c>
      <c r="G8" s="6"/>
      <c r="H8" s="6"/>
      <c r="I8" s="6" t="s">
        <v>28</v>
      </c>
    </row>
    <row r="9" spans="1:13" ht="25" x14ac:dyDescent="0.2">
      <c r="A9" s="5">
        <f>A8+1</f>
        <v>8</v>
      </c>
      <c r="B9" s="6" t="s">
        <v>9</v>
      </c>
      <c r="C9" s="7">
        <v>46039</v>
      </c>
      <c r="D9" s="7">
        <v>46047</v>
      </c>
      <c r="E9" s="6" t="s">
        <v>35</v>
      </c>
      <c r="F9" s="8" t="s">
        <v>36</v>
      </c>
      <c r="G9" s="6"/>
      <c r="H9" s="6"/>
      <c r="I9" s="6" t="s">
        <v>28</v>
      </c>
    </row>
    <row r="10" spans="1:13" ht="75" x14ac:dyDescent="0.2">
      <c r="A10" s="5">
        <f>A9+1</f>
        <v>9</v>
      </c>
      <c r="B10" s="6" t="s">
        <v>37</v>
      </c>
      <c r="C10" s="7">
        <v>46048</v>
      </c>
      <c r="D10" s="7">
        <v>46054</v>
      </c>
      <c r="E10" s="6" t="s">
        <v>38</v>
      </c>
      <c r="F10" s="8" t="s">
        <v>39</v>
      </c>
      <c r="G10" s="6" t="s">
        <v>38</v>
      </c>
      <c r="H10" s="6"/>
      <c r="I10" s="6" t="s">
        <v>28</v>
      </c>
    </row>
    <row r="11" spans="1:13" ht="75" x14ac:dyDescent="0.2">
      <c r="A11" s="5">
        <f t="shared" si="0"/>
        <v>10</v>
      </c>
      <c r="B11" s="6" t="s">
        <v>37</v>
      </c>
      <c r="C11" s="7">
        <v>46048</v>
      </c>
      <c r="D11" s="7">
        <v>46054</v>
      </c>
      <c r="E11" s="6" t="s">
        <v>40</v>
      </c>
      <c r="F11" s="8" t="s">
        <v>41</v>
      </c>
      <c r="G11" s="6" t="s">
        <v>42</v>
      </c>
      <c r="H11" s="6"/>
      <c r="I11" s="6" t="s">
        <v>28</v>
      </c>
    </row>
    <row r="12" spans="1:13" ht="50" x14ac:dyDescent="0.2">
      <c r="A12" s="5">
        <f t="shared" si="0"/>
        <v>11</v>
      </c>
      <c r="B12" s="6" t="s">
        <v>37</v>
      </c>
      <c r="C12" s="7">
        <v>46055</v>
      </c>
      <c r="D12" s="7">
        <v>46075</v>
      </c>
      <c r="E12" s="6" t="s">
        <v>43</v>
      </c>
      <c r="F12" s="8" t="s">
        <v>44</v>
      </c>
      <c r="G12" s="6" t="s">
        <v>45</v>
      </c>
      <c r="H12" s="6"/>
      <c r="I12" s="6" t="s">
        <v>28</v>
      </c>
    </row>
    <row r="13" spans="1:13" ht="24" x14ac:dyDescent="0.2">
      <c r="A13" s="5">
        <f t="shared" si="0"/>
        <v>12</v>
      </c>
      <c r="B13" s="6" t="s">
        <v>46</v>
      </c>
      <c r="C13" s="7">
        <v>46055</v>
      </c>
      <c r="D13" s="7">
        <v>46075</v>
      </c>
      <c r="E13" s="6" t="s">
        <v>68</v>
      </c>
      <c r="F13" s="6" t="s">
        <v>70</v>
      </c>
      <c r="G13" s="6" t="s">
        <v>142</v>
      </c>
      <c r="H13" s="6"/>
      <c r="I13" s="6" t="s">
        <v>28</v>
      </c>
    </row>
    <row r="14" spans="1:13" ht="24" x14ac:dyDescent="0.2">
      <c r="A14" s="5">
        <f t="shared" si="0"/>
        <v>13</v>
      </c>
      <c r="B14" s="6" t="s">
        <v>46</v>
      </c>
      <c r="C14" s="7"/>
      <c r="D14" s="7"/>
      <c r="E14" s="6" t="s">
        <v>68</v>
      </c>
      <c r="F14" s="6" t="s">
        <v>71</v>
      </c>
      <c r="G14" s="6" t="s">
        <v>142</v>
      </c>
      <c r="H14" s="6"/>
      <c r="I14" s="6" t="s">
        <v>28</v>
      </c>
    </row>
    <row r="15" spans="1:13" ht="24" x14ac:dyDescent="0.2">
      <c r="A15" s="5">
        <f t="shared" si="0"/>
        <v>14</v>
      </c>
      <c r="B15" s="6" t="s">
        <v>46</v>
      </c>
      <c r="C15" s="7"/>
      <c r="D15" s="7"/>
      <c r="E15" s="6" t="s">
        <v>68</v>
      </c>
      <c r="F15" s="6" t="s">
        <v>72</v>
      </c>
      <c r="G15" s="6" t="s">
        <v>142</v>
      </c>
      <c r="H15" s="6"/>
      <c r="I15" s="6" t="s">
        <v>28</v>
      </c>
    </row>
    <row r="16" spans="1:13" ht="24" x14ac:dyDescent="0.2">
      <c r="A16" s="5">
        <f t="shared" si="0"/>
        <v>15</v>
      </c>
      <c r="B16" s="6" t="s">
        <v>46</v>
      </c>
      <c r="C16" s="7"/>
      <c r="D16" s="7"/>
      <c r="E16" s="6" t="s">
        <v>68</v>
      </c>
      <c r="F16" s="6" t="s">
        <v>73</v>
      </c>
      <c r="G16" s="6" t="s">
        <v>142</v>
      </c>
      <c r="H16" s="6"/>
      <c r="I16" s="6" t="s">
        <v>28</v>
      </c>
    </row>
    <row r="17" spans="1:9" ht="24" x14ac:dyDescent="0.2">
      <c r="A17" s="5">
        <f t="shared" si="0"/>
        <v>16</v>
      </c>
      <c r="B17" s="6" t="s">
        <v>46</v>
      </c>
      <c r="C17" s="7">
        <v>46055</v>
      </c>
      <c r="D17" s="7">
        <v>46075</v>
      </c>
      <c r="E17" s="6" t="s">
        <v>74</v>
      </c>
      <c r="F17" s="6" t="s">
        <v>76</v>
      </c>
      <c r="G17" s="6" t="s">
        <v>143</v>
      </c>
      <c r="H17" s="6"/>
      <c r="I17" s="6" t="s">
        <v>28</v>
      </c>
    </row>
    <row r="18" spans="1:9" ht="24" x14ac:dyDescent="0.2">
      <c r="A18" s="5">
        <f t="shared" si="0"/>
        <v>17</v>
      </c>
      <c r="B18" s="6" t="s">
        <v>46</v>
      </c>
      <c r="C18" s="7"/>
      <c r="D18" s="7"/>
      <c r="E18" s="6" t="s">
        <v>74</v>
      </c>
      <c r="F18" s="6" t="s">
        <v>77</v>
      </c>
      <c r="G18" s="6" t="s">
        <v>143</v>
      </c>
      <c r="H18" s="6"/>
      <c r="I18" s="6" t="s">
        <v>28</v>
      </c>
    </row>
    <row r="19" spans="1:9" ht="24" x14ac:dyDescent="0.2">
      <c r="A19" s="5">
        <f t="shared" si="0"/>
        <v>18</v>
      </c>
      <c r="B19" s="6" t="s">
        <v>46</v>
      </c>
      <c r="C19" s="7"/>
      <c r="D19" s="7"/>
      <c r="E19" s="6" t="s">
        <v>74</v>
      </c>
      <c r="F19" s="6" t="s">
        <v>78</v>
      </c>
      <c r="G19" s="6" t="s">
        <v>143</v>
      </c>
      <c r="H19" s="6"/>
      <c r="I19" s="6" t="s">
        <v>28</v>
      </c>
    </row>
    <row r="20" spans="1:9" ht="24" x14ac:dyDescent="0.2">
      <c r="A20" s="5">
        <f t="shared" si="0"/>
        <v>19</v>
      </c>
      <c r="B20" s="6" t="s">
        <v>46</v>
      </c>
      <c r="C20" s="7"/>
      <c r="D20" s="7"/>
      <c r="E20" s="6" t="s">
        <v>74</v>
      </c>
      <c r="F20" s="6" t="s">
        <v>79</v>
      </c>
      <c r="G20" s="6" t="s">
        <v>143</v>
      </c>
      <c r="H20" s="6"/>
      <c r="I20" s="6" t="s">
        <v>28</v>
      </c>
    </row>
    <row r="21" spans="1:9" ht="24" x14ac:dyDescent="0.2">
      <c r="A21" s="5">
        <f t="shared" si="0"/>
        <v>20</v>
      </c>
      <c r="B21" s="6" t="s">
        <v>46</v>
      </c>
      <c r="C21" s="7"/>
      <c r="D21" s="7"/>
      <c r="E21" s="6" t="s">
        <v>74</v>
      </c>
      <c r="F21" s="6" t="s">
        <v>81</v>
      </c>
      <c r="G21" s="6" t="s">
        <v>143</v>
      </c>
      <c r="H21" s="6"/>
      <c r="I21" s="6" t="s">
        <v>28</v>
      </c>
    </row>
    <row r="22" spans="1:9" ht="24" x14ac:dyDescent="0.2">
      <c r="A22" s="5">
        <f t="shared" si="0"/>
        <v>21</v>
      </c>
      <c r="B22" s="6" t="s">
        <v>46</v>
      </c>
      <c r="C22" s="7">
        <v>46055</v>
      </c>
      <c r="D22" s="7">
        <v>46075</v>
      </c>
      <c r="E22" s="6" t="s">
        <v>120</v>
      </c>
      <c r="F22" s="6" t="s">
        <v>119</v>
      </c>
      <c r="G22" s="6" t="s">
        <v>144</v>
      </c>
      <c r="H22" s="6"/>
      <c r="I22" s="6" t="s">
        <v>28</v>
      </c>
    </row>
    <row r="23" spans="1:9" ht="24" x14ac:dyDescent="0.2">
      <c r="A23" s="5">
        <f t="shared" si="0"/>
        <v>22</v>
      </c>
      <c r="B23" s="6" t="s">
        <v>46</v>
      </c>
      <c r="C23" s="7"/>
      <c r="D23" s="7"/>
      <c r="E23" s="6" t="s">
        <v>120</v>
      </c>
      <c r="F23" s="6" t="s">
        <v>82</v>
      </c>
      <c r="G23" s="6" t="s">
        <v>144</v>
      </c>
      <c r="H23" s="6"/>
      <c r="I23" s="6" t="s">
        <v>28</v>
      </c>
    </row>
    <row r="24" spans="1:9" ht="24" x14ac:dyDescent="0.2">
      <c r="A24" s="5">
        <f t="shared" si="0"/>
        <v>23</v>
      </c>
      <c r="B24" s="6" t="s">
        <v>46</v>
      </c>
      <c r="C24" s="7"/>
      <c r="D24" s="7"/>
      <c r="E24" s="6" t="s">
        <v>120</v>
      </c>
      <c r="F24" s="6" t="s">
        <v>105</v>
      </c>
      <c r="G24" s="6" t="s">
        <v>144</v>
      </c>
      <c r="H24" s="6"/>
      <c r="I24" s="6" t="s">
        <v>28</v>
      </c>
    </row>
    <row r="25" spans="1:9" ht="24" x14ac:dyDescent="0.2">
      <c r="A25" s="5">
        <f t="shared" si="0"/>
        <v>24</v>
      </c>
      <c r="B25" s="6" t="s">
        <v>46</v>
      </c>
      <c r="C25" s="7"/>
      <c r="D25" s="7"/>
      <c r="E25" s="6" t="s">
        <v>120</v>
      </c>
      <c r="F25" s="6" t="s">
        <v>84</v>
      </c>
      <c r="G25" s="6" t="s">
        <v>144</v>
      </c>
      <c r="H25" s="6"/>
      <c r="I25" s="6" t="s">
        <v>28</v>
      </c>
    </row>
    <row r="26" spans="1:9" ht="24" x14ac:dyDescent="0.2">
      <c r="A26" s="5">
        <f t="shared" si="0"/>
        <v>25</v>
      </c>
      <c r="B26" s="6" t="s">
        <v>46</v>
      </c>
      <c r="C26" s="7"/>
      <c r="D26" s="7"/>
      <c r="E26" s="6" t="s">
        <v>120</v>
      </c>
      <c r="F26" s="6" t="s">
        <v>117</v>
      </c>
      <c r="G26" s="6" t="s">
        <v>144</v>
      </c>
      <c r="H26" s="6"/>
      <c r="I26" s="6" t="s">
        <v>28</v>
      </c>
    </row>
    <row r="27" spans="1:9" ht="24" x14ac:dyDescent="0.2">
      <c r="A27" s="5">
        <f t="shared" si="0"/>
        <v>26</v>
      </c>
      <c r="B27" s="6" t="s">
        <v>46</v>
      </c>
      <c r="C27" s="7"/>
      <c r="D27" s="7"/>
      <c r="E27" s="6" t="s">
        <v>120</v>
      </c>
      <c r="F27" s="6" t="s">
        <v>118</v>
      </c>
      <c r="G27" s="6" t="s">
        <v>144</v>
      </c>
      <c r="H27" s="6"/>
      <c r="I27" s="6" t="s">
        <v>28</v>
      </c>
    </row>
    <row r="28" spans="1:9" ht="24" x14ac:dyDescent="0.2">
      <c r="A28" s="5">
        <f t="shared" si="0"/>
        <v>27</v>
      </c>
      <c r="B28" s="6" t="s">
        <v>46</v>
      </c>
      <c r="C28" s="7"/>
      <c r="D28" s="7"/>
      <c r="E28" s="6" t="s">
        <v>120</v>
      </c>
      <c r="F28" s="6" t="s">
        <v>126</v>
      </c>
      <c r="G28" s="6" t="s">
        <v>144</v>
      </c>
      <c r="H28" s="6"/>
      <c r="I28" s="6" t="s">
        <v>28</v>
      </c>
    </row>
    <row r="29" spans="1:9" ht="25" x14ac:dyDescent="0.2">
      <c r="A29" s="5">
        <f t="shared" si="0"/>
        <v>28</v>
      </c>
      <c r="B29" s="6" t="s">
        <v>46</v>
      </c>
      <c r="C29" s="7"/>
      <c r="D29" s="7">
        <v>46101</v>
      </c>
      <c r="E29" s="6" t="s">
        <v>188</v>
      </c>
      <c r="F29" s="8" t="s">
        <v>189</v>
      </c>
      <c r="G29" s="6"/>
      <c r="H29" s="6"/>
      <c r="I29" s="6" t="s">
        <v>28</v>
      </c>
    </row>
    <row r="30" spans="1:9" ht="50" x14ac:dyDescent="0.2">
      <c r="A30" s="5">
        <f t="shared" si="0"/>
        <v>29</v>
      </c>
      <c r="B30" s="6" t="s">
        <v>46</v>
      </c>
      <c r="C30" s="7">
        <v>46076</v>
      </c>
      <c r="D30" s="7">
        <v>46103</v>
      </c>
      <c r="E30" s="6" t="s">
        <v>47</v>
      </c>
      <c r="F30" s="8" t="s">
        <v>48</v>
      </c>
      <c r="G30" s="6" t="s">
        <v>49</v>
      </c>
      <c r="H30" s="6"/>
      <c r="I30" s="6" t="s">
        <v>28</v>
      </c>
    </row>
    <row r="31" spans="1:9" ht="50" x14ac:dyDescent="0.2">
      <c r="A31" s="5">
        <f t="shared" si="0"/>
        <v>30</v>
      </c>
      <c r="B31" s="6" t="s">
        <v>50</v>
      </c>
      <c r="C31" s="7"/>
      <c r="D31" s="7"/>
      <c r="E31" s="6" t="s">
        <v>152</v>
      </c>
      <c r="F31" s="8" t="s">
        <v>153</v>
      </c>
      <c r="G31" s="6" t="s">
        <v>154</v>
      </c>
      <c r="H31" s="6"/>
      <c r="I31" s="6" t="s">
        <v>32</v>
      </c>
    </row>
    <row r="32" spans="1:9" ht="50" x14ac:dyDescent="0.2">
      <c r="A32" s="5">
        <f t="shared" si="0"/>
        <v>31</v>
      </c>
      <c r="B32" s="6" t="s">
        <v>50</v>
      </c>
      <c r="C32" s="7"/>
      <c r="D32" s="7"/>
      <c r="E32" s="6" t="s">
        <v>156</v>
      </c>
      <c r="F32" s="8" t="s">
        <v>157</v>
      </c>
      <c r="G32" s="6" t="s">
        <v>158</v>
      </c>
      <c r="H32" s="6"/>
      <c r="I32" s="6" t="s">
        <v>28</v>
      </c>
    </row>
    <row r="33" spans="1:9" ht="75" x14ac:dyDescent="0.2">
      <c r="A33" s="5">
        <f t="shared" si="0"/>
        <v>32</v>
      </c>
      <c r="B33" s="6" t="s">
        <v>50</v>
      </c>
      <c r="C33" s="7"/>
      <c r="D33" s="7"/>
      <c r="E33" s="6" t="s">
        <v>160</v>
      </c>
      <c r="F33" s="8" t="s">
        <v>161</v>
      </c>
      <c r="G33" s="6" t="s">
        <v>162</v>
      </c>
      <c r="H33" s="6"/>
      <c r="I33" s="6" t="s">
        <v>28</v>
      </c>
    </row>
    <row r="34" spans="1:9" ht="75" x14ac:dyDescent="0.2">
      <c r="A34" s="5">
        <f t="shared" si="0"/>
        <v>33</v>
      </c>
      <c r="B34" s="6" t="s">
        <v>50</v>
      </c>
      <c r="C34" s="7"/>
      <c r="D34" s="7"/>
      <c r="E34" s="6" t="s">
        <v>164</v>
      </c>
      <c r="F34" s="8" t="s">
        <v>165</v>
      </c>
      <c r="G34" s="6" t="s">
        <v>166</v>
      </c>
      <c r="H34" s="6"/>
      <c r="I34" s="6" t="s">
        <v>32</v>
      </c>
    </row>
    <row r="35" spans="1:9" ht="50" x14ac:dyDescent="0.2">
      <c r="A35" s="5">
        <f t="shared" si="0"/>
        <v>34</v>
      </c>
      <c r="B35" s="6" t="s">
        <v>50</v>
      </c>
      <c r="C35" s="7"/>
      <c r="D35" s="7"/>
      <c r="E35" s="6" t="s">
        <v>168</v>
      </c>
      <c r="F35" s="8" t="s">
        <v>169</v>
      </c>
      <c r="G35" s="6" t="s">
        <v>154</v>
      </c>
      <c r="H35" s="6"/>
      <c r="I35" s="6" t="s">
        <v>28</v>
      </c>
    </row>
    <row r="36" spans="1:9" ht="75" x14ac:dyDescent="0.2">
      <c r="A36" s="5">
        <f t="shared" si="0"/>
        <v>35</v>
      </c>
      <c r="B36" s="6" t="s">
        <v>50</v>
      </c>
      <c r="C36" s="7"/>
      <c r="D36" s="7"/>
      <c r="E36" s="6" t="s">
        <v>171</v>
      </c>
      <c r="F36" s="8" t="s">
        <v>172</v>
      </c>
      <c r="G36" s="6" t="s">
        <v>173</v>
      </c>
      <c r="H36" s="6"/>
      <c r="I36" s="6" t="s">
        <v>32</v>
      </c>
    </row>
    <row r="37" spans="1:9" ht="75" x14ac:dyDescent="0.2">
      <c r="A37" s="5">
        <f t="shared" si="0"/>
        <v>36</v>
      </c>
      <c r="B37" s="6" t="s">
        <v>50</v>
      </c>
      <c r="C37" s="7"/>
      <c r="D37" s="7"/>
      <c r="E37" s="6" t="s">
        <v>175</v>
      </c>
      <c r="F37" s="8" t="s">
        <v>176</v>
      </c>
      <c r="G37" s="6" t="s">
        <v>177</v>
      </c>
      <c r="H37" s="6"/>
      <c r="I37" s="6" t="s">
        <v>28</v>
      </c>
    </row>
    <row r="38" spans="1:9" ht="50" x14ac:dyDescent="0.2">
      <c r="A38" s="5">
        <f t="shared" si="0"/>
        <v>37</v>
      </c>
      <c r="B38" s="6" t="s">
        <v>50</v>
      </c>
      <c r="C38" s="7"/>
      <c r="D38" s="7"/>
      <c r="E38" s="6" t="s">
        <v>126</v>
      </c>
      <c r="F38" s="8" t="s">
        <v>179</v>
      </c>
      <c r="G38" s="6" t="s">
        <v>180</v>
      </c>
      <c r="H38" s="6"/>
      <c r="I38" s="6" t="s">
        <v>28</v>
      </c>
    </row>
    <row r="39" spans="1:9" ht="25" x14ac:dyDescent="0.2">
      <c r="A39" s="5">
        <f t="shared" si="0"/>
        <v>38</v>
      </c>
      <c r="B39" s="6" t="s">
        <v>50</v>
      </c>
      <c r="C39" s="7"/>
      <c r="D39" s="7">
        <v>46143</v>
      </c>
      <c r="E39" s="6" t="s">
        <v>186</v>
      </c>
      <c r="F39" s="8" t="s">
        <v>187</v>
      </c>
      <c r="G39" s="6"/>
      <c r="H39" s="6"/>
      <c r="I39" s="6" t="s">
        <v>28</v>
      </c>
    </row>
    <row r="40" spans="1:9" ht="50" x14ac:dyDescent="0.2">
      <c r="A40" s="5">
        <f t="shared" si="0"/>
        <v>39</v>
      </c>
      <c r="B40" s="6" t="s">
        <v>50</v>
      </c>
      <c r="C40" s="7">
        <v>46103</v>
      </c>
      <c r="D40" s="7">
        <v>46143</v>
      </c>
      <c r="E40" s="6" t="s">
        <v>51</v>
      </c>
      <c r="F40" s="8" t="s">
        <v>52</v>
      </c>
      <c r="G40" s="6" t="s">
        <v>53</v>
      </c>
      <c r="H40" s="6"/>
      <c r="I40" s="6" t="s">
        <v>28</v>
      </c>
    </row>
    <row r="41" spans="1:9" ht="25" x14ac:dyDescent="0.2">
      <c r="A41" s="5">
        <f t="shared" si="0"/>
        <v>40</v>
      </c>
      <c r="B41" s="6" t="s">
        <v>54</v>
      </c>
      <c r="C41" s="7">
        <v>46132</v>
      </c>
      <c r="D41" s="7">
        <v>46145</v>
      </c>
      <c r="E41" s="6" t="s">
        <v>55</v>
      </c>
      <c r="F41" s="8" t="s">
        <v>56</v>
      </c>
      <c r="G41" s="6"/>
      <c r="H41" s="6"/>
      <c r="I41" s="6" t="s">
        <v>28</v>
      </c>
    </row>
    <row r="42" spans="1:9" ht="50" x14ac:dyDescent="0.2">
      <c r="A42" s="5">
        <f t="shared" si="0"/>
        <v>41</v>
      </c>
      <c r="B42" s="6" t="s">
        <v>54</v>
      </c>
      <c r="C42" s="7">
        <v>46132</v>
      </c>
      <c r="D42" s="7">
        <v>46145</v>
      </c>
      <c r="E42" s="6" t="s">
        <v>57</v>
      </c>
      <c r="F42" s="8" t="s">
        <v>58</v>
      </c>
      <c r="G42" s="6" t="s">
        <v>59</v>
      </c>
      <c r="H42" s="6"/>
      <c r="I42" s="6" t="s">
        <v>28</v>
      </c>
    </row>
    <row r="43" spans="1:9" ht="25" x14ac:dyDescent="0.2">
      <c r="A43" s="5">
        <f t="shared" si="0"/>
        <v>42</v>
      </c>
      <c r="B43" s="6" t="s">
        <v>54</v>
      </c>
      <c r="C43" s="7">
        <v>46139</v>
      </c>
      <c r="D43" s="7">
        <v>46145</v>
      </c>
      <c r="E43" s="6" t="s">
        <v>60</v>
      </c>
      <c r="F43" s="8" t="s">
        <v>61</v>
      </c>
      <c r="G43" s="6" t="s">
        <v>62</v>
      </c>
      <c r="H43" s="6"/>
      <c r="I43" s="6" t="s">
        <v>28</v>
      </c>
    </row>
    <row r="44" spans="1:9" ht="25" x14ac:dyDescent="0.2">
      <c r="A44" s="5">
        <f t="shared" si="0"/>
        <v>43</v>
      </c>
      <c r="B44" s="6" t="s">
        <v>54</v>
      </c>
      <c r="C44" s="7">
        <v>46145</v>
      </c>
      <c r="D44" s="7">
        <v>46145</v>
      </c>
      <c r="E44" s="6" t="s">
        <v>63</v>
      </c>
      <c r="F44" s="8" t="s">
        <v>64</v>
      </c>
      <c r="G44" s="6"/>
      <c r="H44" s="6"/>
      <c r="I44" s="6" t="s">
        <v>28</v>
      </c>
    </row>
    <row r="45" spans="1:9" ht="16" x14ac:dyDescent="0.2"/>
    <row r="46" spans="1:9" ht="16" x14ac:dyDescent="0.2"/>
    <row r="47" spans="1:9" ht="16" x14ac:dyDescent="0.2"/>
  </sheetData>
  <dataValidations count="1">
    <dataValidation type="list" allowBlank="1" showInputMessage="1" showErrorMessage="1" errorTitle="Invalid Selection" error="Choose one of the following" promptTitle="Select Status" sqref="I2:I44" xr:uid="{938B18A3-4CE8-5948-9E1F-1585FCF142FF}">
      <formula1>$M$2:$M$7</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0264-0B08-4F43-BE14-9867195DF127}">
  <dimension ref="A1:F64"/>
  <sheetViews>
    <sheetView zoomScale="130" zoomScaleNormal="130" workbookViewId="0">
      <pane xSplit="1" ySplit="1" topLeftCell="B29" activePane="bottomRight" state="frozen"/>
      <selection pane="topRight" activeCell="B1" sqref="B1"/>
      <selection pane="bottomLeft" activeCell="A4" sqref="A4"/>
      <selection pane="bottomRight" activeCell="E23" sqref="E23"/>
    </sheetView>
  </sheetViews>
  <sheetFormatPr baseColWidth="10" defaultColWidth="11" defaultRowHeight="16" x14ac:dyDescent="0.2"/>
  <cols>
    <col min="1" max="1" width="92.6640625" bestFit="1" customWidth="1"/>
    <col min="2" max="2" width="14.5" bestFit="1" customWidth="1"/>
    <col min="3" max="3" width="14.6640625" bestFit="1" customWidth="1"/>
    <col min="4" max="4" width="24.1640625" bestFit="1" customWidth="1"/>
    <col min="5" max="5" width="24" bestFit="1" customWidth="1"/>
  </cols>
  <sheetData>
    <row r="1" spans="1:6" ht="21" x14ac:dyDescent="0.25">
      <c r="A1" s="1" t="s">
        <v>65</v>
      </c>
      <c r="B1" s="1" t="s">
        <v>28</v>
      </c>
      <c r="C1" s="1" t="s">
        <v>66</v>
      </c>
      <c r="D1" s="1" t="s">
        <v>67</v>
      </c>
      <c r="E1" s="1" t="s">
        <v>116</v>
      </c>
      <c r="F1" s="1" t="s">
        <v>115</v>
      </c>
    </row>
    <row r="2" spans="1:6" ht="22" x14ac:dyDescent="0.3">
      <c r="A2" s="9" t="s">
        <v>127</v>
      </c>
      <c r="B2" s="10"/>
      <c r="C2" s="10"/>
      <c r="D2" s="10"/>
      <c r="E2" s="1"/>
      <c r="F2" s="1"/>
    </row>
    <row r="3" spans="1:6" ht="22" x14ac:dyDescent="0.3">
      <c r="A3" s="19" t="s">
        <v>128</v>
      </c>
      <c r="B3" s="10" t="s">
        <v>141</v>
      </c>
      <c r="C3" s="10" t="s">
        <v>141</v>
      </c>
      <c r="D3" s="10"/>
      <c r="E3" s="1"/>
      <c r="F3" s="1"/>
    </row>
    <row r="4" spans="1:6" ht="22" x14ac:dyDescent="0.3">
      <c r="A4" s="19" t="s">
        <v>129</v>
      </c>
      <c r="B4" s="10" t="s">
        <v>141</v>
      </c>
      <c r="C4" s="10" t="s">
        <v>141</v>
      </c>
      <c r="D4" s="10"/>
      <c r="E4" s="1"/>
      <c r="F4" s="1"/>
    </row>
    <row r="5" spans="1:6" ht="22" x14ac:dyDescent="0.3">
      <c r="A5" s="19" t="s">
        <v>130</v>
      </c>
      <c r="B5" s="10" t="s">
        <v>141</v>
      </c>
      <c r="C5" s="10" t="s">
        <v>141</v>
      </c>
      <c r="D5" s="10"/>
      <c r="E5" s="1"/>
      <c r="F5" s="1"/>
    </row>
    <row r="6" spans="1:6" ht="22" x14ac:dyDescent="0.3">
      <c r="A6" s="19" t="s">
        <v>131</v>
      </c>
      <c r="B6" s="10" t="s">
        <v>141</v>
      </c>
      <c r="C6" s="10" t="s">
        <v>141</v>
      </c>
      <c r="D6" s="10"/>
      <c r="E6" s="1"/>
      <c r="F6" s="1"/>
    </row>
    <row r="7" spans="1:6" ht="22" x14ac:dyDescent="0.3">
      <c r="A7" s="19" t="s">
        <v>132</v>
      </c>
      <c r="B7" s="10" t="s">
        <v>141</v>
      </c>
      <c r="C7" s="10" t="s">
        <v>141</v>
      </c>
      <c r="D7" s="10"/>
      <c r="E7" s="1"/>
      <c r="F7" s="1"/>
    </row>
    <row r="8" spans="1:6" ht="22" x14ac:dyDescent="0.3">
      <c r="A8" s="19" t="s">
        <v>133</v>
      </c>
      <c r="B8" s="10" t="s">
        <v>141</v>
      </c>
      <c r="C8" s="10" t="s">
        <v>141</v>
      </c>
      <c r="D8" s="10"/>
      <c r="E8" s="1"/>
      <c r="F8" s="1"/>
    </row>
    <row r="9" spans="1:6" ht="22" x14ac:dyDescent="0.3">
      <c r="A9" s="19" t="s">
        <v>134</v>
      </c>
      <c r="B9" s="10" t="s">
        <v>141</v>
      </c>
      <c r="C9" s="10" t="s">
        <v>141</v>
      </c>
      <c r="D9" s="10"/>
      <c r="E9" s="1"/>
      <c r="F9" s="1"/>
    </row>
    <row r="10" spans="1:6" ht="22" x14ac:dyDescent="0.3">
      <c r="A10" s="9" t="s">
        <v>85</v>
      </c>
      <c r="B10" s="10"/>
      <c r="C10" s="10"/>
      <c r="D10" s="1"/>
      <c r="E10" s="1"/>
      <c r="F10" s="1"/>
    </row>
    <row r="11" spans="1:6" ht="22" x14ac:dyDescent="0.3">
      <c r="A11" s="9" t="s">
        <v>68</v>
      </c>
      <c r="B11" s="10"/>
      <c r="C11" s="10"/>
      <c r="D11" s="1" t="s">
        <v>69</v>
      </c>
      <c r="E11" s="1"/>
      <c r="F11" s="1"/>
    </row>
    <row r="12" spans="1:6" ht="22" x14ac:dyDescent="0.3">
      <c r="A12" s="11" t="s">
        <v>70</v>
      </c>
      <c r="B12" s="10" t="s">
        <v>141</v>
      </c>
      <c r="C12" s="10" t="s">
        <v>141</v>
      </c>
      <c r="D12" s="1" t="s">
        <v>69</v>
      </c>
      <c r="E12" s="1"/>
      <c r="F12" s="1"/>
    </row>
    <row r="13" spans="1:6" ht="22" x14ac:dyDescent="0.3">
      <c r="A13" s="11" t="s">
        <v>71</v>
      </c>
      <c r="B13" s="10" t="s">
        <v>141</v>
      </c>
      <c r="C13" s="10" t="s">
        <v>141</v>
      </c>
      <c r="D13" s="1" t="s">
        <v>69</v>
      </c>
      <c r="E13" s="1"/>
      <c r="F13" s="1"/>
    </row>
    <row r="14" spans="1:6" ht="22" x14ac:dyDescent="0.3">
      <c r="A14" s="11" t="s">
        <v>72</v>
      </c>
      <c r="B14" s="10" t="s">
        <v>141</v>
      </c>
      <c r="C14" s="10" t="s">
        <v>141</v>
      </c>
      <c r="D14" s="1" t="s">
        <v>69</v>
      </c>
      <c r="E14" s="1"/>
      <c r="F14" s="1"/>
    </row>
    <row r="15" spans="1:6" ht="22" x14ac:dyDescent="0.3">
      <c r="A15" s="11" t="s">
        <v>73</v>
      </c>
      <c r="B15" s="10" t="s">
        <v>141</v>
      </c>
      <c r="C15" s="10" t="s">
        <v>141</v>
      </c>
      <c r="D15" s="1" t="s">
        <v>69</v>
      </c>
      <c r="E15" s="1"/>
      <c r="F15" s="1"/>
    </row>
    <row r="16" spans="1:6" ht="22" x14ac:dyDescent="0.3">
      <c r="A16" s="9" t="s">
        <v>74</v>
      </c>
      <c r="B16" s="10"/>
      <c r="C16" s="10"/>
      <c r="D16" s="1" t="s">
        <v>75</v>
      </c>
      <c r="E16" s="1"/>
      <c r="F16" s="1"/>
    </row>
    <row r="17" spans="1:6" ht="22" x14ac:dyDescent="0.3">
      <c r="A17" s="11" t="s">
        <v>76</v>
      </c>
      <c r="B17" s="10" t="s">
        <v>141</v>
      </c>
      <c r="C17" s="10" t="s">
        <v>141</v>
      </c>
      <c r="D17" s="1" t="s">
        <v>75</v>
      </c>
      <c r="E17" s="1"/>
      <c r="F17" s="1"/>
    </row>
    <row r="18" spans="1:6" ht="22" x14ac:dyDescent="0.3">
      <c r="A18" s="11" t="s">
        <v>77</v>
      </c>
      <c r="B18" s="10" t="s">
        <v>141</v>
      </c>
      <c r="C18" s="10" t="s">
        <v>141</v>
      </c>
      <c r="D18" s="1" t="s">
        <v>75</v>
      </c>
      <c r="E18" s="1"/>
      <c r="F18" s="1"/>
    </row>
    <row r="19" spans="1:6" ht="22" x14ac:dyDescent="0.3">
      <c r="A19" s="11" t="s">
        <v>78</v>
      </c>
      <c r="B19" s="10" t="s">
        <v>141</v>
      </c>
      <c r="C19" s="10" t="s">
        <v>141</v>
      </c>
      <c r="D19" s="1" t="s">
        <v>75</v>
      </c>
      <c r="E19" s="1"/>
      <c r="F19" s="1"/>
    </row>
    <row r="20" spans="1:6" ht="22" x14ac:dyDescent="0.3">
      <c r="A20" s="11" t="s">
        <v>79</v>
      </c>
      <c r="B20" s="10" t="s">
        <v>141</v>
      </c>
      <c r="C20" s="10" t="s">
        <v>141</v>
      </c>
      <c r="D20" s="1" t="s">
        <v>80</v>
      </c>
      <c r="E20" s="1"/>
      <c r="F20" s="1"/>
    </row>
    <row r="21" spans="1:6" ht="22" x14ac:dyDescent="0.3">
      <c r="A21" s="11" t="s">
        <v>81</v>
      </c>
      <c r="B21" s="10" t="s">
        <v>141</v>
      </c>
      <c r="C21" s="10" t="s">
        <v>141</v>
      </c>
      <c r="D21" s="1" t="s">
        <v>80</v>
      </c>
      <c r="E21" s="1"/>
      <c r="F21" s="1"/>
    </row>
    <row r="22" spans="1:6" ht="22" x14ac:dyDescent="0.3">
      <c r="A22" s="18" t="s">
        <v>120</v>
      </c>
      <c r="B22" s="12"/>
      <c r="C22" s="10"/>
      <c r="D22" s="10"/>
      <c r="E22" s="1"/>
      <c r="F22" s="1"/>
    </row>
    <row r="23" spans="1:6" ht="22" x14ac:dyDescent="0.3">
      <c r="A23" s="19" t="s">
        <v>119</v>
      </c>
      <c r="B23" s="10" t="s">
        <v>141</v>
      </c>
      <c r="C23" s="10" t="s">
        <v>141</v>
      </c>
      <c r="D23" s="1" t="s">
        <v>123</v>
      </c>
      <c r="E23" s="1"/>
      <c r="F23" s="1"/>
    </row>
    <row r="24" spans="1:6" ht="22" x14ac:dyDescent="0.3">
      <c r="A24" s="19" t="s">
        <v>82</v>
      </c>
      <c r="B24" s="10" t="s">
        <v>141</v>
      </c>
      <c r="C24" s="10" t="s">
        <v>141</v>
      </c>
      <c r="D24" s="1" t="s">
        <v>83</v>
      </c>
      <c r="E24" s="1"/>
      <c r="F24" s="1"/>
    </row>
    <row r="25" spans="1:6" ht="22" x14ac:dyDescent="0.3">
      <c r="A25" s="19" t="s">
        <v>105</v>
      </c>
      <c r="B25" s="10" t="s">
        <v>141</v>
      </c>
      <c r="C25" s="10" t="s">
        <v>141</v>
      </c>
      <c r="D25" s="10" t="s">
        <v>125</v>
      </c>
      <c r="E25" s="1"/>
      <c r="F25" s="1"/>
    </row>
    <row r="26" spans="1:6" ht="22" x14ac:dyDescent="0.3">
      <c r="A26" s="19" t="s">
        <v>84</v>
      </c>
      <c r="B26" s="10" t="s">
        <v>141</v>
      </c>
      <c r="C26" s="10" t="s">
        <v>141</v>
      </c>
      <c r="D26" s="1" t="s">
        <v>124</v>
      </c>
      <c r="E26" s="1"/>
      <c r="F26" s="1"/>
    </row>
    <row r="27" spans="1:6" ht="22" x14ac:dyDescent="0.3">
      <c r="A27" s="19" t="s">
        <v>117</v>
      </c>
      <c r="B27" s="10" t="s">
        <v>141</v>
      </c>
      <c r="C27" s="10" t="s">
        <v>141</v>
      </c>
      <c r="D27" s="10" t="s">
        <v>122</v>
      </c>
      <c r="E27" s="1"/>
      <c r="F27" s="1"/>
    </row>
    <row r="28" spans="1:6" ht="22" x14ac:dyDescent="0.3">
      <c r="A28" s="19" t="s">
        <v>118</v>
      </c>
      <c r="B28" s="10" t="s">
        <v>141</v>
      </c>
      <c r="C28" s="10" t="s">
        <v>141</v>
      </c>
      <c r="D28" s="10" t="s">
        <v>121</v>
      </c>
      <c r="E28" s="1"/>
      <c r="F28" s="1"/>
    </row>
    <row r="29" spans="1:6" ht="22" x14ac:dyDescent="0.3">
      <c r="A29" s="19" t="s">
        <v>126</v>
      </c>
      <c r="B29" s="10" t="s">
        <v>141</v>
      </c>
      <c r="C29" s="10" t="s">
        <v>141</v>
      </c>
      <c r="D29" s="10" t="s">
        <v>121</v>
      </c>
      <c r="E29" s="1"/>
      <c r="F29" s="1"/>
    </row>
    <row r="30" spans="1:6" ht="22" x14ac:dyDescent="0.3">
      <c r="A30" s="9" t="s">
        <v>86</v>
      </c>
      <c r="B30" s="10"/>
      <c r="C30" s="10"/>
      <c r="D30" s="10"/>
      <c r="E30" s="1"/>
      <c r="F30" s="1"/>
    </row>
    <row r="31" spans="1:6" ht="22" x14ac:dyDescent="0.25">
      <c r="A31" s="20" t="s">
        <v>87</v>
      </c>
      <c r="B31" s="10"/>
      <c r="C31" s="10"/>
      <c r="D31" s="10"/>
      <c r="E31" s="1"/>
      <c r="F31" s="1"/>
    </row>
    <row r="32" spans="1:6" ht="22" x14ac:dyDescent="0.25">
      <c r="A32" s="20" t="s">
        <v>88</v>
      </c>
      <c r="B32" s="10"/>
      <c r="C32" s="10"/>
      <c r="D32" s="10"/>
      <c r="E32" s="1"/>
      <c r="F32" s="1"/>
    </row>
    <row r="33" spans="1:6" ht="22" x14ac:dyDescent="0.25">
      <c r="A33" s="20" t="s">
        <v>89</v>
      </c>
      <c r="B33" s="10"/>
      <c r="C33" s="10"/>
      <c r="D33" s="10"/>
      <c r="E33" s="1"/>
      <c r="F33" s="1"/>
    </row>
    <row r="34" spans="1:6" ht="22" x14ac:dyDescent="0.25">
      <c r="A34" s="20" t="s">
        <v>90</v>
      </c>
      <c r="B34" s="10"/>
      <c r="C34" s="10"/>
      <c r="D34" s="10"/>
      <c r="E34" s="1"/>
      <c r="F34" s="1"/>
    </row>
    <row r="35" spans="1:6" ht="22" x14ac:dyDescent="0.25">
      <c r="A35" s="20" t="s">
        <v>91</v>
      </c>
      <c r="B35" s="10"/>
      <c r="C35" s="10"/>
      <c r="D35" s="10"/>
      <c r="E35" s="1"/>
      <c r="F35" s="1"/>
    </row>
    <row r="36" spans="1:6" ht="22" x14ac:dyDescent="0.25">
      <c r="A36" s="20" t="s">
        <v>92</v>
      </c>
      <c r="B36" s="10"/>
      <c r="C36" s="10"/>
      <c r="D36" s="10"/>
      <c r="E36" s="1"/>
      <c r="F36" s="1"/>
    </row>
    <row r="37" spans="1:6" ht="22" x14ac:dyDescent="0.25">
      <c r="A37" s="20" t="s">
        <v>93</v>
      </c>
      <c r="B37" s="10"/>
      <c r="C37" s="10"/>
      <c r="D37" s="10"/>
      <c r="E37" s="1"/>
      <c r="F37" s="1"/>
    </row>
    <row r="38" spans="1:6" ht="22" x14ac:dyDescent="0.25">
      <c r="A38" s="20" t="s">
        <v>135</v>
      </c>
      <c r="B38" s="10"/>
      <c r="C38" s="10"/>
      <c r="D38" s="10"/>
      <c r="E38" s="1"/>
      <c r="F38" s="1"/>
    </row>
    <row r="39" spans="1:6" ht="22" x14ac:dyDescent="0.25">
      <c r="A39" s="20" t="s">
        <v>136</v>
      </c>
      <c r="B39" s="10"/>
      <c r="C39" s="10"/>
      <c r="D39" s="10"/>
      <c r="E39" s="1"/>
      <c r="F39" s="1"/>
    </row>
    <row r="40" spans="1:6" ht="22" x14ac:dyDescent="0.25">
      <c r="A40" s="20" t="s">
        <v>137</v>
      </c>
      <c r="B40" s="10"/>
      <c r="C40" s="10"/>
      <c r="D40" s="10"/>
      <c r="E40" s="1"/>
      <c r="F40" s="1"/>
    </row>
    <row r="41" spans="1:6" ht="22" x14ac:dyDescent="0.25">
      <c r="A41" s="20" t="s">
        <v>138</v>
      </c>
      <c r="B41" s="10"/>
      <c r="C41" s="10"/>
      <c r="D41" s="10"/>
      <c r="E41" s="1"/>
      <c r="F41" s="1"/>
    </row>
    <row r="42" spans="1:6" ht="22" x14ac:dyDescent="0.25">
      <c r="A42" s="20" t="s">
        <v>139</v>
      </c>
      <c r="B42" s="10"/>
      <c r="C42" s="10"/>
      <c r="D42" s="10"/>
      <c r="E42" s="1"/>
      <c r="F42" s="1"/>
    </row>
    <row r="43" spans="1:6" ht="22" x14ac:dyDescent="0.25">
      <c r="A43" s="20" t="s">
        <v>140</v>
      </c>
      <c r="B43" s="10"/>
      <c r="C43" s="10"/>
      <c r="D43" s="10"/>
      <c r="E43" s="1"/>
      <c r="F43" s="1"/>
    </row>
    <row r="44" spans="1:6" ht="22" x14ac:dyDescent="0.25">
      <c r="A44" s="15" t="s">
        <v>94</v>
      </c>
      <c r="B44" s="10"/>
      <c r="C44" s="10"/>
      <c r="D44" s="10"/>
      <c r="E44" s="1"/>
      <c r="F44" s="1"/>
    </row>
    <row r="45" spans="1:6" ht="22" x14ac:dyDescent="0.25">
      <c r="A45" s="14" t="s">
        <v>95</v>
      </c>
      <c r="B45" s="10"/>
      <c r="C45" s="10"/>
      <c r="D45" s="10"/>
      <c r="E45" s="1"/>
      <c r="F45" s="1"/>
    </row>
    <row r="46" spans="1:6" ht="22" x14ac:dyDescent="0.25">
      <c r="A46" s="14" t="s">
        <v>96</v>
      </c>
      <c r="B46" s="10"/>
      <c r="C46" s="10"/>
      <c r="D46" s="10"/>
      <c r="E46" s="1"/>
      <c r="F46" s="1"/>
    </row>
    <row r="47" spans="1:6" ht="22" x14ac:dyDescent="0.25">
      <c r="A47" s="14" t="s">
        <v>97</v>
      </c>
      <c r="B47" s="10"/>
      <c r="C47" s="10"/>
      <c r="D47" s="10"/>
      <c r="E47" s="1"/>
      <c r="F47" s="1"/>
    </row>
    <row r="48" spans="1:6" ht="22" x14ac:dyDescent="0.25">
      <c r="A48" s="14" t="s">
        <v>98</v>
      </c>
      <c r="B48" s="10"/>
      <c r="C48" s="10"/>
      <c r="D48" s="10"/>
      <c r="E48" s="1"/>
      <c r="F48" s="1"/>
    </row>
    <row r="49" spans="1:6" ht="22" x14ac:dyDescent="0.25">
      <c r="A49" s="14" t="s">
        <v>99</v>
      </c>
      <c r="B49" s="10"/>
      <c r="C49" s="10"/>
      <c r="D49" s="10"/>
      <c r="E49" s="1"/>
      <c r="F49" s="1"/>
    </row>
    <row r="50" spans="1:6" ht="22" x14ac:dyDescent="0.25">
      <c r="A50" s="13" t="s">
        <v>114</v>
      </c>
      <c r="B50" s="10"/>
      <c r="C50" s="10"/>
      <c r="D50" s="10"/>
      <c r="E50" s="1"/>
      <c r="F50" s="1"/>
    </row>
    <row r="51" spans="1:6" ht="22" x14ac:dyDescent="0.25">
      <c r="A51" s="16" t="s">
        <v>100</v>
      </c>
      <c r="B51" s="10"/>
      <c r="C51" s="10"/>
      <c r="D51" s="10"/>
      <c r="E51" s="1"/>
      <c r="F51" s="1"/>
    </row>
    <row r="52" spans="1:6" ht="22" x14ac:dyDescent="0.25">
      <c r="A52" s="16" t="s">
        <v>101</v>
      </c>
      <c r="B52" s="10"/>
      <c r="C52" s="10"/>
      <c r="D52" s="10"/>
      <c r="E52" s="1"/>
      <c r="F52" s="1"/>
    </row>
    <row r="53" spans="1:6" ht="22" x14ac:dyDescent="0.25">
      <c r="A53" s="16" t="s">
        <v>102</v>
      </c>
      <c r="B53" s="10"/>
      <c r="C53" s="10"/>
      <c r="D53" s="10"/>
      <c r="E53" s="1"/>
      <c r="F53" s="1"/>
    </row>
    <row r="54" spans="1:6" ht="22" x14ac:dyDescent="0.25">
      <c r="A54" s="15" t="s">
        <v>103</v>
      </c>
      <c r="B54" s="10"/>
      <c r="C54" s="10"/>
      <c r="D54" s="10"/>
      <c r="E54" s="1"/>
      <c r="F54" s="1"/>
    </row>
    <row r="55" spans="1:6" ht="22" x14ac:dyDescent="0.25">
      <c r="A55" s="14" t="s">
        <v>104</v>
      </c>
      <c r="B55" s="10"/>
      <c r="C55" s="10"/>
      <c r="D55" s="10"/>
      <c r="E55" s="1"/>
      <c r="F55" s="1"/>
    </row>
    <row r="56" spans="1:6" ht="22" x14ac:dyDescent="0.25">
      <c r="A56" s="14" t="s">
        <v>105</v>
      </c>
      <c r="B56" s="10"/>
      <c r="C56" s="10"/>
      <c r="D56" s="10"/>
      <c r="E56" s="1"/>
      <c r="F56" s="1"/>
    </row>
    <row r="57" spans="1:6" ht="22" x14ac:dyDescent="0.25">
      <c r="A57" s="14" t="s">
        <v>106</v>
      </c>
      <c r="B57" s="10"/>
      <c r="C57" s="10"/>
      <c r="D57" s="10"/>
      <c r="E57" s="1"/>
      <c r="F57" s="1"/>
    </row>
    <row r="58" spans="1:6" ht="22" x14ac:dyDescent="0.25">
      <c r="A58" s="14" t="s">
        <v>107</v>
      </c>
      <c r="B58" s="10"/>
      <c r="C58" s="10"/>
      <c r="D58" s="10"/>
      <c r="E58" s="1"/>
      <c r="F58" s="1"/>
    </row>
    <row r="59" spans="1:6" ht="22" x14ac:dyDescent="0.25">
      <c r="A59" s="14" t="s">
        <v>108</v>
      </c>
      <c r="B59" s="10"/>
      <c r="C59" s="10"/>
      <c r="D59" s="10"/>
      <c r="E59" s="1"/>
      <c r="F59" s="1"/>
    </row>
    <row r="60" spans="1:6" ht="22" x14ac:dyDescent="0.25">
      <c r="A60" s="14" t="s">
        <v>109</v>
      </c>
      <c r="B60" s="10"/>
      <c r="C60" s="10"/>
      <c r="D60" s="10"/>
      <c r="E60" s="1"/>
      <c r="F60" s="1"/>
    </row>
    <row r="61" spans="1:6" ht="22" x14ac:dyDescent="0.25">
      <c r="A61" s="14" t="s">
        <v>110</v>
      </c>
      <c r="B61" s="10"/>
      <c r="C61" s="10"/>
      <c r="D61" s="10"/>
      <c r="E61" s="1"/>
      <c r="F61" s="1"/>
    </row>
    <row r="62" spans="1:6" ht="22" x14ac:dyDescent="0.25">
      <c r="A62" s="14" t="s">
        <v>111</v>
      </c>
      <c r="B62" s="10"/>
      <c r="C62" s="10"/>
      <c r="D62" s="10"/>
      <c r="E62" s="1"/>
      <c r="F62" s="1"/>
    </row>
    <row r="63" spans="1:6" ht="22" x14ac:dyDescent="0.25">
      <c r="A63" s="14" t="s">
        <v>112</v>
      </c>
      <c r="B63" s="10"/>
      <c r="C63" s="10"/>
      <c r="D63" s="10"/>
      <c r="E63" s="1"/>
      <c r="F63" s="1"/>
    </row>
    <row r="64" spans="1:6" ht="22" x14ac:dyDescent="0.3">
      <c r="A64" s="17" t="s">
        <v>113</v>
      </c>
      <c r="B64" s="10"/>
      <c r="C64" s="10"/>
      <c r="D64" s="10"/>
      <c r="E64" s="1"/>
      <c r="F64" s="1"/>
    </row>
  </sheetData>
  <pageMargins left="0.7" right="0.7" top="0.75" bottom="0.75" header="0.3" footer="0.3"/>
  <pageSetup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363A9CC57B1D04C88B232A0302D8CA3" ma:contentTypeVersion="3" ma:contentTypeDescription="Create a new document." ma:contentTypeScope="" ma:versionID="05b0d68458a83f2dceb9390af74df2d9">
  <xsd:schema xmlns:xsd="http://www.w3.org/2001/XMLSchema" xmlns:xs="http://www.w3.org/2001/XMLSchema" xmlns:p="http://schemas.microsoft.com/office/2006/metadata/properties" xmlns:ns2="065b4d7f-d8c6-44ec-a703-ccc78861ced7" targetNamespace="http://schemas.microsoft.com/office/2006/metadata/properties" ma:root="true" ma:fieldsID="60265b2f8f9a075f6caa8f93d374a713" ns2:_="">
    <xsd:import namespace="065b4d7f-d8c6-44ec-a703-ccc78861ced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b4d7f-d8c6-44ec-a703-ccc78861ce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697904-E71C-4FA6-B434-E18DC096DBB0}">
  <ds:schemaRefs>
    <ds:schemaRef ds:uri="http://schemas.microsoft.com/sharepoint/v3/contenttype/forms"/>
  </ds:schemaRefs>
</ds:datastoreItem>
</file>

<file path=customXml/itemProps2.xml><?xml version="1.0" encoding="utf-8"?>
<ds:datastoreItem xmlns:ds="http://schemas.openxmlformats.org/officeDocument/2006/customXml" ds:itemID="{E55753AB-B095-41FC-A987-A2B54F3A34B0}">
  <ds:schemaRefs>
    <ds:schemaRef ds:uri="http://schemas.microsoft.com/office/2006/documentManagement/types"/>
    <ds:schemaRef ds:uri="http://purl.org/dc/elements/1.1/"/>
    <ds:schemaRef ds:uri="http://purl.org/dc/terms/"/>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065b4d7f-d8c6-44ec-a703-ccc78861ced7"/>
  </ds:schemaRefs>
</ds:datastoreItem>
</file>

<file path=customXml/itemProps3.xml><?xml version="1.0" encoding="utf-8"?>
<ds:datastoreItem xmlns:ds="http://schemas.openxmlformats.org/officeDocument/2006/customXml" ds:itemID="{C9A054C1-26DE-4F77-A222-EC2FB84B73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5b4d7f-d8c6-44ec-a703-ccc78861ce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Sheet1</vt:lpstr>
      <vt:lpstr>Schedule &amp; Milestones</vt:lpstr>
      <vt:lpstr>Deliverable Listing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 MacKenny</dc:creator>
  <cp:keywords/>
  <dc:description/>
  <cp:lastModifiedBy>Matt MacKenny</cp:lastModifiedBy>
  <cp:revision/>
  <dcterms:created xsi:type="dcterms:W3CDTF">2026-01-17T10:44:25Z</dcterms:created>
  <dcterms:modified xsi:type="dcterms:W3CDTF">2026-04-23T23:36:39Z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0x010100E363A9CC57B1D04C88B232A0302D8CA3</vt:lpwstr>
  </property>
</Properties>
</file>