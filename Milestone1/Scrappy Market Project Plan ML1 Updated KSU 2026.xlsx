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mackenny/Documents/KSU/13 - IT7993 Capstone/## - Deliverables/Milestone 1 Deliverables/"/>
    </mc:Choice>
  </mc:AlternateContent>
  <xr:revisionPtr revIDLastSave="0" documentId="13_ncr:1_{7AEC1D3A-4DCE-FA49-AFE3-343326D8D9C7}" xr6:coauthVersionLast="47" xr6:coauthVersionMax="47" xr10:uidLastSave="{00000000-0000-0000-0000-000000000000}"/>
  <bookViews>
    <workbookView xWindow="0" yWindow="500" windowWidth="35840" windowHeight="21900" activeTab="1" xr2:uid="{D312A523-D7E0-4A45-A836-0CDA6971C380}"/>
  </bookViews>
  <sheets>
    <sheet name="Dashboard" sheetId="7" r:id="rId1"/>
    <sheet name="Schedule &amp; Milestones" sheetId="2" r:id="rId2"/>
    <sheet name="Deliverable Listing" sheetId="4" r:id="rId3"/>
  </sheet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s="1"/>
  <c r="A15" i="2" s="1"/>
  <c r="A16" i="2" s="1"/>
  <c r="A17" i="2" l="1"/>
  <c r="A18" i="2" s="1"/>
  <c r="A19" i="2" s="1"/>
  <c r="A20" i="2" s="1"/>
  <c r="A21" i="2" s="1"/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</calcChain>
</file>

<file path=xl/sharedStrings.xml><?xml version="1.0" encoding="utf-8"?>
<sst xmlns="http://schemas.openxmlformats.org/spreadsheetml/2006/main" count="327" uniqueCount="150">
  <si>
    <t>#</t>
  </si>
  <si>
    <t>Phase</t>
  </si>
  <si>
    <t>Start Date</t>
  </si>
  <si>
    <t>End Date</t>
  </si>
  <si>
    <t>Key Activity</t>
  </si>
  <si>
    <t>Details</t>
  </si>
  <si>
    <t>Deliverable</t>
  </si>
  <si>
    <t>Owner</t>
  </si>
  <si>
    <t>Status</t>
  </si>
  <si>
    <t>Intiation</t>
  </si>
  <si>
    <t>LinkedIn Profile</t>
  </si>
  <si>
    <t>Upload Your Professional Profile</t>
  </si>
  <si>
    <t>Create and Upload LinkedIn URL</t>
  </si>
  <si>
    <t>All</t>
  </si>
  <si>
    <t>In-Progress</t>
  </si>
  <si>
    <t>Not Started</t>
  </si>
  <si>
    <t>Create a Project Plan</t>
  </si>
  <si>
    <t>Build a plan to support the capstone. Continue to review weekly and update</t>
  </si>
  <si>
    <t>Project Plan</t>
  </si>
  <si>
    <t>Meet Mentor and Determine Schedule</t>
  </si>
  <si>
    <t>Meet Mentor and align on ongoing meeting timing</t>
  </si>
  <si>
    <t>Confirm Project URL</t>
  </si>
  <si>
    <t>URL to showcase the project work and effort</t>
  </si>
  <si>
    <t>Project URL</t>
  </si>
  <si>
    <t>Review</t>
  </si>
  <si>
    <t>Create Collaboration Plan</t>
  </si>
  <si>
    <t>Describe how we will work together successfully and deliver on the outcomes of the Capstone.</t>
  </si>
  <si>
    <t>Collaboration Plan</t>
  </si>
  <si>
    <t>Complete</t>
  </si>
  <si>
    <t>Create Communication Plan</t>
  </si>
  <si>
    <t>Describe how we will communicate as a team, with academic leadership, and the mentor. When, what, and how.</t>
  </si>
  <si>
    <t>Communication Plan</t>
  </si>
  <si>
    <t>On-Hold</t>
  </si>
  <si>
    <t>Review Weekly Log Guide</t>
  </si>
  <si>
    <t>Review and align as a team on the weekly log</t>
  </si>
  <si>
    <t>Setup Local Dev Environments</t>
  </si>
  <si>
    <t>Setup Langchain, Python etc.</t>
  </si>
  <si>
    <t>Milestone 1</t>
  </si>
  <si>
    <t>Weekly Log Template</t>
  </si>
  <si>
    <t>Build a template for us to use to report on our ongoing work, effort and progress. Tied to the collaboration and communication plan</t>
  </si>
  <si>
    <t>Create Milestone Report Format</t>
  </si>
  <si>
    <t>Build and align on a Powerpoint Template to report out milestone progress to our mentor and acadamic leadership</t>
  </si>
  <si>
    <t>Milestone Report Template</t>
  </si>
  <si>
    <t>Milestone Report #1</t>
  </si>
  <si>
    <t>First Milestone Report on progress to achieve the capstone</t>
  </si>
  <si>
    <t>Milestone Report 1</t>
  </si>
  <si>
    <t>TBD</t>
  </si>
  <si>
    <t>Milestone 2</t>
  </si>
  <si>
    <t>Milestone Report #2</t>
  </si>
  <si>
    <t>Second Milestone Report on progress to achieve the capstone</t>
  </si>
  <si>
    <t>Milestone Report 2</t>
  </si>
  <si>
    <t>Milestone 3</t>
  </si>
  <si>
    <t>Milestone Report #3</t>
  </si>
  <si>
    <t>Third Milestone Report on progress to achieve the capstone</t>
  </si>
  <si>
    <t>Milestone Report 3</t>
  </si>
  <si>
    <t>Project Closing</t>
  </si>
  <si>
    <t>Final Project Report Guide</t>
  </si>
  <si>
    <t>Review final reporting guidelines and expectations</t>
  </si>
  <si>
    <t>Project Deliverable Package to Project Owner</t>
  </si>
  <si>
    <t>Package up all deliverables and share to the project owner</t>
  </si>
  <si>
    <t>Project Deliverables Package</t>
  </si>
  <si>
    <t>Final Project Report</t>
  </si>
  <si>
    <t>Create the final project report for the capstone</t>
  </si>
  <si>
    <t>Project Report</t>
  </si>
  <si>
    <t>Peer Evaluation Submission</t>
  </si>
  <si>
    <t>Submit your evaluation of your peers</t>
  </si>
  <si>
    <t>Activity</t>
  </si>
  <si>
    <t>Reviewed</t>
  </si>
  <si>
    <t>Responsible</t>
  </si>
  <si>
    <t>Formal Requirements Engineering Document</t>
  </si>
  <si>
    <t>Campbell/Mackenny</t>
  </si>
  <si>
    <t>Functional requirements</t>
  </si>
  <si>
    <t>Non-functional requirements</t>
  </si>
  <si>
    <t>Assumptions</t>
  </si>
  <si>
    <t>Constraints</t>
  </si>
  <si>
    <t>Design document</t>
  </si>
  <si>
    <t>Chand/Hall</t>
  </si>
  <si>
    <t>System architecture diagram</t>
  </si>
  <si>
    <t>Agent interaction diagram</t>
  </si>
  <si>
    <t>Data model &amp; ERD</t>
  </si>
  <si>
    <t>User flow diagrams</t>
  </si>
  <si>
    <t>Flores</t>
  </si>
  <si>
    <t>Initial UX wireframes</t>
  </si>
  <si>
    <t>GitHub repository created and shared</t>
  </si>
  <si>
    <t>Chand</t>
  </si>
  <si>
    <t>Mock data design documentation</t>
  </si>
  <si>
    <t>Milestone 1 - Requirements and Foundation</t>
  </si>
  <si>
    <t>Milestone 2 - Prototype &amp; Core Features</t>
  </si>
  <si>
    <t>Working multi-agent framework</t>
  </si>
  <si>
    <t>Natural-language question intake</t>
  </si>
  <si>
    <t>Investigation planning and query generation</t>
  </si>
  <si>
    <t>Mock database populated</t>
  </si>
  <si>
    <t>GUI integrated with agents</t>
  </si>
  <si>
    <t>Mid-semester demo</t>
  </si>
  <si>
    <t>Updated documentation</t>
  </si>
  <si>
    <t>Milestone 3 — Final Integrated Prototype</t>
  </si>
  <si>
    <t>End-to-end investigation workflow demo</t>
  </si>
  <si>
    <t>Fully documented GitHub repository</t>
  </si>
  <si>
    <t>Final technical report</t>
  </si>
  <si>
    <t>Final presentation uploaded to GitHub</t>
  </si>
  <si>
    <t>Future roadmap for analytics extensions</t>
  </si>
  <si>
    <t>Professor</t>
  </si>
  <si>
    <t>Sponsor</t>
  </si>
  <si>
    <t>All team members</t>
  </si>
  <si>
    <t>Repository must contain:</t>
  </si>
  <si>
    <t>All source code</t>
  </si>
  <si>
    <t>README with setup instructions</t>
  </si>
  <si>
    <t>Architecture diagrams</t>
  </si>
  <si>
    <t>Requirements documentation</t>
  </si>
  <si>
    <t>ERD and data dictionary</t>
  </si>
  <si>
    <t>Agent design documentation</t>
  </si>
  <si>
    <t>UX wireframes</t>
  </si>
  <si>
    <t>Test scripts (if applicable)</t>
  </si>
  <si>
    <t>All milestone deliverables</t>
  </si>
  <si>
    <t>All presentation decks (PDF/PPTX)</t>
  </si>
  <si>
    <t>Gthub Repo - Share it with:</t>
  </si>
  <si>
    <t>Column1</t>
  </si>
  <si>
    <t>Document Naming</t>
  </si>
  <si>
    <t>Milestone Presentation</t>
  </si>
  <si>
    <t>Meeting Notes</t>
  </si>
  <si>
    <t>Project plan</t>
  </si>
  <si>
    <t>Supplemental Material</t>
  </si>
  <si>
    <t>Mackenny</t>
  </si>
  <si>
    <t>Mackenny/Campbell</t>
  </si>
  <si>
    <t>Henry</t>
  </si>
  <si>
    <t>Hall</t>
  </si>
  <si>
    <t>Campbell</t>
  </si>
  <si>
    <t>Upload Documents</t>
  </si>
  <si>
    <t>Initiation Prep</t>
  </si>
  <si>
    <t>Team Setup and schedule meeting</t>
  </si>
  <si>
    <t>Setup team channel for internal communication setup and setup Jira board</t>
  </si>
  <si>
    <t>Sponsor Meeting</t>
  </si>
  <si>
    <t>Project Plan Development</t>
  </si>
  <si>
    <t>Initialize Github Repository and share it on the project plan</t>
  </si>
  <si>
    <t>Project Plan document creation and Submission</t>
  </si>
  <si>
    <t>Linked In Profile Creation and Submission</t>
  </si>
  <si>
    <t>Configure Python/LangChain/LangGraph Env</t>
  </si>
  <si>
    <t>Develop and build agents that interprets natural language into structured in</t>
  </si>
  <si>
    <t>Develop Website using Streamlit UI where user can chat with the agent</t>
  </si>
  <si>
    <t>Peer Evaluation and PPT Setup</t>
  </si>
  <si>
    <t>Integrate all the components with each other using API</t>
  </si>
  <si>
    <t>Design Working Prototype and Milestone 2 Report</t>
  </si>
  <si>
    <t>Yes</t>
  </si>
  <si>
    <t>Requirements Document</t>
  </si>
  <si>
    <t>Design Documents</t>
  </si>
  <si>
    <t>Additional Material</t>
  </si>
  <si>
    <t>Column Labels</t>
  </si>
  <si>
    <t>Grand Total</t>
  </si>
  <si>
    <t>Row Labels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</si>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</sst>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ptos"/>
      <family val="2"/>
      <charset val="1"/>
    </font>
    <font>
      <i/>
      <sz val="16"/>
      <color theme="1"/>
      <name val="Aptos"/>
      <family val="2"/>
      <charset val="1"/>
    </font>
    <font>
      <sz val="16"/>
      <color theme="1"/>
      <name val="Aptos"/>
      <family val="2"/>
      <charset val="1"/>
    </font>
    <font>
      <sz val="16"/>
      <color theme="1"/>
      <name val="Aptos"/>
    </font>
    <font>
      <i/>
      <sz val="16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Mackenny" refreshedDate="46075.401228356481" createdVersion="8" refreshedVersion="8" minRefreshableVersion="3" recordCount="35" xr:uid="{37F65D08-EF36-564D-AEE5-64440E232AEC}">
  <cacheSource type="worksheet">
    <worksheetSource name="Table1"/>
  </cacheSource>
  <cacheFields count="9">
    <cacheField name="#" numFmtId="0">
      <sharedItems containsSemiMixedTypes="0" containsString="0" containsNumber="1" containsInteger="1" minValue="1" maxValue="35"/>
    </cacheField>
    <cacheField name="Phase" numFmtId="0">
      <sharedItems containsBlank="1" count="6">
        <s v="Intiation"/>
        <s v="Milestone 1"/>
        <s v="Milestone 2"/>
        <s v="Milestone 3"/>
        <s v="Project Closing"/>
        <m u="1"/>
      </sharedItems>
    </cacheField>
    <cacheField name="Start Date" numFmtId="16">
      <sharedItems containsNonDate="0" containsDate="1" containsString="0" containsBlank="1" minDate="2026-01-17T00:00:00" maxDate="2026-05-04T00:00:00"/>
    </cacheField>
    <cacheField name="End Date" numFmtId="16">
      <sharedItems containsNonDate="0" containsDate="1" containsString="0" containsBlank="1" minDate="2026-01-19T00:00:00" maxDate="2026-05-04T00:00:00"/>
    </cacheField>
    <cacheField name="Key Activity" numFmtId="0">
      <sharedItems containsBlank="1" count="22">
        <s v="LinkedIn Profile"/>
        <s v="Create a Project Plan"/>
        <s v="Meet Mentor and Determine Schedule"/>
        <s v="Confirm Project URL"/>
        <s v="Create Collaboration Plan"/>
        <s v="Create Communication Plan"/>
        <s v="Review Weekly Log Guide"/>
        <s v="Setup Local Dev Environments"/>
        <s v="Weekly Log Template"/>
        <s v="Create Milestone Report Format"/>
        <s v="Milestone Report #1"/>
        <s v="Formal Requirements Engineering Document"/>
        <s v="Design document"/>
        <s v="Supplemental Material"/>
        <s v="Milestone Report #2"/>
        <s v="TBD"/>
        <s v="Milestone Report #3"/>
        <s v="Final Project Report Guide"/>
        <s v="Project Deliverable Package to Project Owner"/>
        <s v="Final Project Report"/>
        <s v="Peer Evaluation Submission"/>
        <m u="1"/>
      </sharedItems>
    </cacheField>
    <cacheField name="Details" numFmtId="0">
      <sharedItems containsBlank="1"/>
    </cacheField>
    <cacheField name="Deliverable" numFmtId="0">
      <sharedItems containsBlank="1"/>
    </cacheField>
    <cacheField name="Owner" numFmtId="0">
      <sharedItems containsBlank="1"/>
    </cacheField>
    <cacheField name="Status" numFmtId="0">
      <sharedItems count="2">
        <s v="Complete"/>
        <s v="Not Star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d v="2026-01-17T00:00:00"/>
    <d v="2026-01-25T00:00:00"/>
    <x v="0"/>
    <s v="Upload Your Professional Profile"/>
    <s v="Create and Upload LinkedIn URL"/>
    <s v="All"/>
    <x v="0"/>
  </r>
  <r>
    <n v="2"/>
    <x v="0"/>
    <d v="2026-01-17T00:00:00"/>
    <d v="2026-01-25T00:00:00"/>
    <x v="1"/>
    <s v="Build a plan to support the capstone. Continue to review weekly and update"/>
    <s v="Project Plan"/>
    <m/>
    <x v="0"/>
  </r>
  <r>
    <n v="3"/>
    <x v="0"/>
    <d v="2026-01-19T00:00:00"/>
    <d v="2026-01-19T00:00:00"/>
    <x v="2"/>
    <s v="Meet Mentor and align on ongoing meeting timing"/>
    <m/>
    <m/>
    <x v="0"/>
  </r>
  <r>
    <n v="4"/>
    <x v="0"/>
    <d v="2026-01-17T00:00:00"/>
    <d v="2026-01-25T00:00:00"/>
    <x v="3"/>
    <s v="URL to showcase the project work and effort"/>
    <s v="Project URL"/>
    <m/>
    <x v="0"/>
  </r>
  <r>
    <n v="5"/>
    <x v="0"/>
    <d v="2026-01-17T00:00:00"/>
    <d v="2026-01-25T00:00:00"/>
    <x v="4"/>
    <s v="Describe how we will work together successfully and deliver on the outcomes of the Capstone."/>
    <s v="Collaboration Plan"/>
    <m/>
    <x v="0"/>
  </r>
  <r>
    <n v="6"/>
    <x v="0"/>
    <d v="2026-01-17T00:00:00"/>
    <d v="2026-01-25T00:00:00"/>
    <x v="5"/>
    <s v="Describe how we will communicate as a team, with academic leadership, and the mentor. When, what, and how."/>
    <s v="Communication Plan"/>
    <m/>
    <x v="0"/>
  </r>
  <r>
    <n v="7"/>
    <x v="0"/>
    <d v="2026-01-26T00:00:00"/>
    <d v="2026-02-01T00:00:00"/>
    <x v="6"/>
    <s v="Review and align as a team on the weekly log"/>
    <m/>
    <m/>
    <x v="0"/>
  </r>
  <r>
    <n v="8"/>
    <x v="0"/>
    <d v="2026-01-17T00:00:00"/>
    <d v="2026-01-25T00:00:00"/>
    <x v="7"/>
    <s v="Setup Langchain, Python etc."/>
    <m/>
    <m/>
    <x v="0"/>
  </r>
  <r>
    <n v="9"/>
    <x v="1"/>
    <d v="2026-01-26T00:00:00"/>
    <d v="2026-02-01T00:00:00"/>
    <x v="8"/>
    <s v="Build a template for us to use to report on our ongoing work, effort and progress. Tied to the collaboration and communication plan"/>
    <s v="Weekly Log Template"/>
    <m/>
    <x v="0"/>
  </r>
  <r>
    <n v="10"/>
    <x v="1"/>
    <d v="2026-01-26T00:00:00"/>
    <d v="2026-02-01T00:00:00"/>
    <x v="9"/>
    <s v="Build and align on a Powerpoint Template to report out milestone progress to our mentor and acadamic leadership"/>
    <s v="Milestone Report Template"/>
    <m/>
    <x v="0"/>
  </r>
  <r>
    <n v="11"/>
    <x v="1"/>
    <d v="2026-02-02T00:00:00"/>
    <d v="2026-02-22T00:00:00"/>
    <x v="10"/>
    <s v="First Milestone Report on progress to achieve the capstone"/>
    <s v="Milestone Report 1"/>
    <m/>
    <x v="0"/>
  </r>
  <r>
    <n v="12"/>
    <x v="1"/>
    <d v="2026-02-02T00:00:00"/>
    <d v="2026-02-22T00:00:00"/>
    <x v="11"/>
    <s v="Functional requirements"/>
    <s v="Requirements Document"/>
    <m/>
    <x v="0"/>
  </r>
  <r>
    <n v="13"/>
    <x v="1"/>
    <m/>
    <m/>
    <x v="11"/>
    <s v="Non-functional requirements"/>
    <s v="Requirements Document"/>
    <m/>
    <x v="0"/>
  </r>
  <r>
    <n v="14"/>
    <x v="1"/>
    <m/>
    <m/>
    <x v="11"/>
    <s v="Assumptions"/>
    <s v="Requirements Document"/>
    <m/>
    <x v="0"/>
  </r>
  <r>
    <n v="15"/>
    <x v="1"/>
    <m/>
    <m/>
    <x v="11"/>
    <s v="Constraints"/>
    <s v="Requirements Document"/>
    <m/>
    <x v="0"/>
  </r>
  <r>
    <n v="16"/>
    <x v="1"/>
    <d v="2026-02-02T00:00:00"/>
    <d v="2026-02-22T00:00:00"/>
    <x v="12"/>
    <s v="System architecture diagram"/>
    <s v="Design Documents"/>
    <m/>
    <x v="0"/>
  </r>
  <r>
    <n v="17"/>
    <x v="1"/>
    <m/>
    <m/>
    <x v="12"/>
    <s v="Agent interaction diagram"/>
    <s v="Design Documents"/>
    <m/>
    <x v="0"/>
  </r>
  <r>
    <n v="18"/>
    <x v="1"/>
    <m/>
    <m/>
    <x v="12"/>
    <s v="Data model &amp; ERD"/>
    <s v="Design Documents"/>
    <m/>
    <x v="0"/>
  </r>
  <r>
    <n v="19"/>
    <x v="1"/>
    <m/>
    <m/>
    <x v="12"/>
    <s v="User flow diagrams"/>
    <s v="Design Documents"/>
    <m/>
    <x v="0"/>
  </r>
  <r>
    <n v="20"/>
    <x v="1"/>
    <m/>
    <m/>
    <x v="12"/>
    <s v="Initial UX wireframes"/>
    <s v="Design Documents"/>
    <m/>
    <x v="0"/>
  </r>
  <r>
    <n v="21"/>
    <x v="1"/>
    <d v="2026-02-02T00:00:00"/>
    <d v="2026-02-22T00:00:00"/>
    <x v="13"/>
    <s v="Project plan"/>
    <s v="Additional Material"/>
    <m/>
    <x v="0"/>
  </r>
  <r>
    <n v="22"/>
    <x v="1"/>
    <m/>
    <m/>
    <x v="13"/>
    <s v="GitHub repository created and shared"/>
    <s v="Additional Material"/>
    <m/>
    <x v="0"/>
  </r>
  <r>
    <n v="23"/>
    <x v="1"/>
    <m/>
    <m/>
    <x v="13"/>
    <s v="README with setup instructions"/>
    <s v="Additional Material"/>
    <m/>
    <x v="0"/>
  </r>
  <r>
    <n v="24"/>
    <x v="1"/>
    <m/>
    <m/>
    <x v="13"/>
    <s v="Mock data design documentation"/>
    <s v="Additional Material"/>
    <m/>
    <x v="0"/>
  </r>
  <r>
    <n v="25"/>
    <x v="1"/>
    <m/>
    <m/>
    <x v="13"/>
    <s v="Milestone Presentation"/>
    <s v="Additional Material"/>
    <m/>
    <x v="0"/>
  </r>
  <r>
    <n v="26"/>
    <x v="1"/>
    <m/>
    <m/>
    <x v="13"/>
    <s v="Meeting Notes"/>
    <s v="Additional Material"/>
    <m/>
    <x v="0"/>
  </r>
  <r>
    <n v="27"/>
    <x v="1"/>
    <m/>
    <m/>
    <x v="13"/>
    <s v="Upload Documents"/>
    <s v="Additional Material"/>
    <m/>
    <x v="0"/>
  </r>
  <r>
    <n v="28"/>
    <x v="2"/>
    <d v="2026-02-23T00:00:00"/>
    <d v="2026-03-22T00:00:00"/>
    <x v="14"/>
    <s v="Second Milestone Report on progress to achieve the capstone"/>
    <s v="Milestone Report 2"/>
    <m/>
    <x v="1"/>
  </r>
  <r>
    <n v="29"/>
    <x v="2"/>
    <m/>
    <m/>
    <x v="15"/>
    <m/>
    <m/>
    <m/>
    <x v="1"/>
  </r>
  <r>
    <n v="30"/>
    <x v="3"/>
    <d v="2026-03-22T00:00:00"/>
    <d v="2026-04-19T00:00:00"/>
    <x v="16"/>
    <s v="Third Milestone Report on progress to achieve the capstone"/>
    <s v="Milestone Report 3"/>
    <m/>
    <x v="1"/>
  </r>
  <r>
    <n v="31"/>
    <x v="3"/>
    <m/>
    <m/>
    <x v="15"/>
    <m/>
    <m/>
    <m/>
    <x v="1"/>
  </r>
  <r>
    <n v="32"/>
    <x v="4"/>
    <d v="2026-04-20T00:00:00"/>
    <d v="2026-04-26T00:00:00"/>
    <x v="17"/>
    <s v="Review final reporting guidelines and expectations"/>
    <m/>
    <m/>
    <x v="1"/>
  </r>
  <r>
    <n v="33"/>
    <x v="4"/>
    <d v="2026-04-20T00:00:00"/>
    <d v="2026-04-26T00:00:00"/>
    <x v="18"/>
    <s v="Package up all deliverables and share to the project owner"/>
    <s v="Project Deliverables Package"/>
    <m/>
    <x v="1"/>
  </r>
  <r>
    <n v="34"/>
    <x v="4"/>
    <d v="2026-04-27T00:00:00"/>
    <d v="2026-05-03T00:00:00"/>
    <x v="19"/>
    <s v="Create the final project report for the capstone"/>
    <s v="Project Report"/>
    <m/>
    <x v="1"/>
  </r>
  <r>
    <n v="35"/>
    <x v="4"/>
    <d v="2026-05-03T00:00:00"/>
    <d v="2026-05-03T00:00:00"/>
    <x v="20"/>
    <s v="Submit your evaluation of your peers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EBA76-D4DB-9F47-8618-C0FF9B37E6C4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8" firstHeaderRow="1" firstDataRow="2" firstDataCol="1"/>
  <pivotFields count="9">
    <pivotField showAll="0"/>
    <pivotField axis="axisCol" showAll="0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>
      <items count="23">
        <item x="3"/>
        <item x="1"/>
        <item x="4"/>
        <item x="5"/>
        <item x="9"/>
        <item x="12"/>
        <item x="19"/>
        <item x="17"/>
        <item x="11"/>
        <item x="0"/>
        <item x="2"/>
        <item x="10"/>
        <item x="14"/>
        <item x="16"/>
        <item x="20"/>
        <item x="18"/>
        <item x="6"/>
        <item x="7"/>
        <item x="13"/>
        <item x="15"/>
        <item x="8"/>
        <item m="1" x="21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tus" fld="8" subtotal="count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F87C1-0C91-DE43-9371-C5F7CCECB82D}" name="Table1" displayName="Table1" ref="A1:I36" totalsRowShown="0" headerRowDxfId="21" dataDxfId="20">
  <autoFilter ref="A1:I36" xr:uid="{F4BF87C1-0C91-DE43-9371-C5F7CCECB82D}"/>
  <tableColumns count="9">
    <tableColumn id="1" xr3:uid="{6908C51F-FD09-7947-A1A0-8C0654D4E95A}" name="#" dataDxfId="19"/>
    <tableColumn id="2" xr3:uid="{1A95A11F-C347-6649-998A-5E7AA524205D}" name="Phase" dataDxfId="18"/>
    <tableColumn id="8" xr3:uid="{6420C2D3-EF99-BD49-BC23-0BB1F061AA51}" name="Start Date" dataDxfId="17"/>
    <tableColumn id="9" xr3:uid="{CAAB2ABA-E03A-2445-97D4-66A2AA415EC6}" name="End Date" dataDxfId="16"/>
    <tableColumn id="4" xr3:uid="{D940E28C-1D28-D94F-BB38-BD4C94738CBE}" name="Key Activity" dataDxfId="15"/>
    <tableColumn id="10" xr3:uid="{B66D88F6-55D4-1C43-BEF9-7BD5775D5A35}" name="Details" dataDxfId="14"/>
    <tableColumn id="5" xr3:uid="{A227BE98-B948-5042-A097-C395B4F46E5C}" name="Deliverable" dataDxfId="13"/>
    <tableColumn id="6" xr3:uid="{9D692A9E-6F87-994B-BAD5-B8A63F52F71B}" name="Owner" dataDxfId="12"/>
    <tableColumn id="7" xr3:uid="{33994E12-38C9-1942-A7C6-445224D89357}" name="Status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AE685-E419-4C29-8FDE-27B79CDB3E80}" name="Table2" displayName="Table2" ref="A1:F64" totalsRowShown="0" headerRowDxfId="6" dataDxfId="5">
  <autoFilter ref="A1:F64" xr:uid="{724AE685-E419-4C29-8FDE-27B79CDB3E80}"/>
  <tableColumns count="6">
    <tableColumn id="1" xr3:uid="{5A8850ED-9A1B-4CB0-9B60-6A52A1C1752A}" name="Activity" dataDxfId="10"/>
    <tableColumn id="2" xr3:uid="{81BB307D-BB2D-47FB-86F1-E1E0BEB2C31A}" name="Complete" dataDxfId="9"/>
    <tableColumn id="3" xr3:uid="{0A3D73B1-2FD0-4FC8-8F16-1BC432B7CDA5}" name="Reviewed" dataDxfId="8"/>
    <tableColumn id="5" xr3:uid="{6A55538C-A956-5845-BAA7-302372EF20ED}" name="Responsible" dataDxfId="4"/>
    <tableColumn id="4" xr3:uid="{740D5A80-D49D-4C3C-9D36-1FC2F7BD863A}" name="Document Naming" dataDxfId="7"/>
    <tableColumn id="6" xr3:uid="{A595840B-82DF-1147-860A-5F0A14853540}" name="Column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E1FB-183B-CF49-855E-2D48B53C1640}">
  <dimension ref="B4:H8"/>
  <sheetViews>
    <sheetView workbookViewId="0">
      <selection activeCell="B11" sqref="B11"/>
    </sheetView>
  </sheetViews>
  <sheetFormatPr baseColWidth="10" defaultRowHeight="16" x14ac:dyDescent="0.2"/>
  <cols>
    <col min="2" max="2" width="13.6640625" bestFit="1" customWidth="1"/>
    <col min="3" max="3" width="15.5" bestFit="1" customWidth="1"/>
    <col min="4" max="6" width="10.83203125" bestFit="1" customWidth="1"/>
    <col min="7" max="7" width="13.1640625" bestFit="1" customWidth="1"/>
    <col min="8" max="8" width="10.83203125" bestFit="1" customWidth="1"/>
  </cols>
  <sheetData>
    <row r="4" spans="2:8" x14ac:dyDescent="0.2">
      <c r="B4" s="22" t="s">
        <v>149</v>
      </c>
      <c r="C4" s="22" t="s">
        <v>146</v>
      </c>
    </row>
    <row r="5" spans="2:8" x14ac:dyDescent="0.2">
      <c r="B5" s="22" t="s">
        <v>148</v>
      </c>
      <c r="C5" t="s">
        <v>9</v>
      </c>
      <c r="D5" t="s">
        <v>37</v>
      </c>
      <c r="E5" t="s">
        <v>47</v>
      </c>
      <c r="F5" t="s">
        <v>51</v>
      </c>
      <c r="G5" t="s">
        <v>55</v>
      </c>
      <c r="H5" t="s">
        <v>147</v>
      </c>
    </row>
    <row r="6" spans="2:8" x14ac:dyDescent="0.2">
      <c r="B6" s="3" t="s">
        <v>28</v>
      </c>
      <c r="C6" s="23">
        <v>8</v>
      </c>
      <c r="D6" s="23">
        <v>19</v>
      </c>
      <c r="E6" s="23"/>
      <c r="F6" s="23"/>
      <c r="G6" s="23"/>
      <c r="H6" s="23">
        <v>27</v>
      </c>
    </row>
    <row r="7" spans="2:8" x14ac:dyDescent="0.2">
      <c r="B7" s="3" t="s">
        <v>15</v>
      </c>
      <c r="C7" s="23"/>
      <c r="D7" s="23"/>
      <c r="E7" s="23">
        <v>2</v>
      </c>
      <c r="F7" s="23">
        <v>2</v>
      </c>
      <c r="G7" s="23">
        <v>4</v>
      </c>
      <c r="H7" s="23">
        <v>8</v>
      </c>
    </row>
    <row r="8" spans="2:8" x14ac:dyDescent="0.2">
      <c r="B8" s="3" t="s">
        <v>147</v>
      </c>
      <c r="C8" s="23">
        <v>8</v>
      </c>
      <c r="D8" s="23">
        <v>19</v>
      </c>
      <c r="E8" s="23">
        <v>2</v>
      </c>
      <c r="F8" s="23">
        <v>2</v>
      </c>
      <c r="G8" s="23">
        <v>4</v>
      </c>
      <c r="H8" s="2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1D9E-540B-C844-A549-35CA45EDC058}">
  <dimension ref="A1:M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baseColWidth="10" defaultColWidth="11" defaultRowHeight="15.75" customHeight="1" x14ac:dyDescent="0.2"/>
  <cols>
    <col min="1" max="1" width="8" style="4" bestFit="1" customWidth="1"/>
    <col min="2" max="2" width="23.33203125" customWidth="1"/>
    <col min="3" max="4" width="20.83203125" customWidth="1"/>
    <col min="5" max="5" width="57.33203125" customWidth="1"/>
    <col min="6" max="6" width="63.83203125" style="2" customWidth="1"/>
    <col min="7" max="7" width="41.5" bestFit="1" customWidth="1"/>
    <col min="8" max="8" width="12.33203125" bestFit="1" customWidth="1"/>
    <col min="9" max="9" width="18.83203125" customWidth="1"/>
  </cols>
  <sheetData>
    <row r="1" spans="1:13" ht="2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M1" t="s">
        <v>8</v>
      </c>
    </row>
    <row r="2" spans="1:13" ht="25" x14ac:dyDescent="0.2">
      <c r="A2" s="5">
        <v>1</v>
      </c>
      <c r="B2" s="6" t="s">
        <v>9</v>
      </c>
      <c r="C2" s="7">
        <v>46039</v>
      </c>
      <c r="D2" s="7">
        <v>46047</v>
      </c>
      <c r="E2" s="6" t="s">
        <v>10</v>
      </c>
      <c r="F2" s="8" t="s">
        <v>11</v>
      </c>
      <c r="G2" s="6" t="s">
        <v>12</v>
      </c>
      <c r="H2" s="6" t="s">
        <v>13</v>
      </c>
      <c r="I2" s="6" t="s">
        <v>28</v>
      </c>
      <c r="M2" t="s">
        <v>15</v>
      </c>
    </row>
    <row r="3" spans="1:13" ht="50" x14ac:dyDescent="0.2">
      <c r="A3" s="5">
        <f>A2+1</f>
        <v>2</v>
      </c>
      <c r="B3" s="6" t="s">
        <v>9</v>
      </c>
      <c r="C3" s="7">
        <v>46039</v>
      </c>
      <c r="D3" s="7">
        <v>46047</v>
      </c>
      <c r="E3" s="6" t="s">
        <v>16</v>
      </c>
      <c r="F3" s="8" t="s">
        <v>17</v>
      </c>
      <c r="G3" s="6" t="s">
        <v>18</v>
      </c>
      <c r="H3" s="6"/>
      <c r="I3" s="6" t="s">
        <v>28</v>
      </c>
      <c r="M3" t="s">
        <v>14</v>
      </c>
    </row>
    <row r="4" spans="1:13" ht="25" x14ac:dyDescent="0.2">
      <c r="A4" s="5">
        <f>A3+1</f>
        <v>3</v>
      </c>
      <c r="B4" s="6" t="s">
        <v>9</v>
      </c>
      <c r="C4" s="7">
        <v>46041</v>
      </c>
      <c r="D4" s="7">
        <v>46041</v>
      </c>
      <c r="E4" s="6" t="s">
        <v>19</v>
      </c>
      <c r="F4" s="8" t="s">
        <v>20</v>
      </c>
      <c r="G4" s="6"/>
      <c r="H4" s="6"/>
      <c r="I4" s="6" t="s">
        <v>28</v>
      </c>
    </row>
    <row r="5" spans="1:13" ht="25" x14ac:dyDescent="0.2">
      <c r="A5" s="5">
        <f>A4+1</f>
        <v>4</v>
      </c>
      <c r="B5" s="6" t="s">
        <v>9</v>
      </c>
      <c r="C5" s="7">
        <v>46039</v>
      </c>
      <c r="D5" s="7">
        <v>46047</v>
      </c>
      <c r="E5" s="6" t="s">
        <v>21</v>
      </c>
      <c r="F5" s="8" t="s">
        <v>22</v>
      </c>
      <c r="G5" s="6" t="s">
        <v>23</v>
      </c>
      <c r="H5" s="6"/>
      <c r="I5" s="6" t="s">
        <v>28</v>
      </c>
      <c r="M5" t="s">
        <v>24</v>
      </c>
    </row>
    <row r="6" spans="1:13" ht="50" x14ac:dyDescent="0.2">
      <c r="A6" s="5">
        <f t="shared" ref="A6:A36" si="0">A5+1</f>
        <v>5</v>
      </c>
      <c r="B6" s="6" t="s">
        <v>9</v>
      </c>
      <c r="C6" s="7">
        <v>46039</v>
      </c>
      <c r="D6" s="7">
        <v>46047</v>
      </c>
      <c r="E6" s="6" t="s">
        <v>25</v>
      </c>
      <c r="F6" s="8" t="s">
        <v>26</v>
      </c>
      <c r="G6" s="6" t="s">
        <v>27</v>
      </c>
      <c r="H6" s="6"/>
      <c r="I6" s="6" t="s">
        <v>28</v>
      </c>
      <c r="M6" t="s">
        <v>28</v>
      </c>
    </row>
    <row r="7" spans="1:13" ht="75" x14ac:dyDescent="0.2">
      <c r="A7" s="5">
        <f t="shared" si="0"/>
        <v>6</v>
      </c>
      <c r="B7" s="6" t="s">
        <v>9</v>
      </c>
      <c r="C7" s="7">
        <v>46039</v>
      </c>
      <c r="D7" s="7">
        <v>46047</v>
      </c>
      <c r="E7" s="6" t="s">
        <v>29</v>
      </c>
      <c r="F7" s="8" t="s">
        <v>30</v>
      </c>
      <c r="G7" s="6" t="s">
        <v>31</v>
      </c>
      <c r="H7" s="6"/>
      <c r="I7" s="6" t="s">
        <v>28</v>
      </c>
      <c r="M7" t="s">
        <v>32</v>
      </c>
    </row>
    <row r="8" spans="1:13" ht="25" x14ac:dyDescent="0.2">
      <c r="A8" s="5">
        <f t="shared" si="0"/>
        <v>7</v>
      </c>
      <c r="B8" s="6" t="s">
        <v>9</v>
      </c>
      <c r="C8" s="7">
        <v>46048</v>
      </c>
      <c r="D8" s="7">
        <v>46054</v>
      </c>
      <c r="E8" s="6" t="s">
        <v>33</v>
      </c>
      <c r="F8" s="8" t="s">
        <v>34</v>
      </c>
      <c r="G8" s="6"/>
      <c r="H8" s="6"/>
      <c r="I8" s="6" t="s">
        <v>28</v>
      </c>
    </row>
    <row r="9" spans="1:13" ht="25" x14ac:dyDescent="0.2">
      <c r="A9" s="5">
        <f>A8+1</f>
        <v>8</v>
      </c>
      <c r="B9" s="6" t="s">
        <v>9</v>
      </c>
      <c r="C9" s="7">
        <v>46039</v>
      </c>
      <c r="D9" s="7">
        <v>46047</v>
      </c>
      <c r="E9" s="6" t="s">
        <v>35</v>
      </c>
      <c r="F9" s="8" t="s">
        <v>36</v>
      </c>
      <c r="G9" s="6"/>
      <c r="H9" s="6"/>
      <c r="I9" s="6" t="s">
        <v>28</v>
      </c>
    </row>
    <row r="10" spans="1:13" ht="75" x14ac:dyDescent="0.2">
      <c r="A10" s="5">
        <f>A9+1</f>
        <v>9</v>
      </c>
      <c r="B10" s="6" t="s">
        <v>37</v>
      </c>
      <c r="C10" s="7">
        <v>46048</v>
      </c>
      <c r="D10" s="7">
        <v>46054</v>
      </c>
      <c r="E10" s="6" t="s">
        <v>38</v>
      </c>
      <c r="F10" s="8" t="s">
        <v>39</v>
      </c>
      <c r="G10" s="6" t="s">
        <v>38</v>
      </c>
      <c r="H10" s="6"/>
      <c r="I10" s="6" t="s">
        <v>28</v>
      </c>
    </row>
    <row r="11" spans="1:13" ht="75" x14ac:dyDescent="0.2">
      <c r="A11" s="5">
        <f t="shared" si="0"/>
        <v>10</v>
      </c>
      <c r="B11" s="6" t="s">
        <v>37</v>
      </c>
      <c r="C11" s="7">
        <v>46048</v>
      </c>
      <c r="D11" s="7">
        <v>46054</v>
      </c>
      <c r="E11" s="6" t="s">
        <v>40</v>
      </c>
      <c r="F11" s="8" t="s">
        <v>41</v>
      </c>
      <c r="G11" s="6" t="s">
        <v>42</v>
      </c>
      <c r="H11" s="6"/>
      <c r="I11" s="6" t="s">
        <v>28</v>
      </c>
    </row>
    <row r="12" spans="1:13" ht="50" x14ac:dyDescent="0.2">
      <c r="A12" s="5">
        <f t="shared" si="0"/>
        <v>11</v>
      </c>
      <c r="B12" s="6" t="s">
        <v>37</v>
      </c>
      <c r="C12" s="7">
        <v>46055</v>
      </c>
      <c r="D12" s="7">
        <v>46075</v>
      </c>
      <c r="E12" s="6" t="s">
        <v>43</v>
      </c>
      <c r="F12" s="8" t="s">
        <v>44</v>
      </c>
      <c r="G12" s="6" t="s">
        <v>45</v>
      </c>
      <c r="H12" s="6"/>
      <c r="I12" s="6" t="s">
        <v>28</v>
      </c>
    </row>
    <row r="13" spans="1:13" ht="24" x14ac:dyDescent="0.2">
      <c r="A13" s="5">
        <f t="shared" si="0"/>
        <v>12</v>
      </c>
      <c r="B13" s="6" t="s">
        <v>37</v>
      </c>
      <c r="C13" s="7">
        <v>46055</v>
      </c>
      <c r="D13" s="7">
        <v>46075</v>
      </c>
      <c r="E13" s="6" t="s">
        <v>69</v>
      </c>
      <c r="F13" s="6" t="s">
        <v>71</v>
      </c>
      <c r="G13" s="6" t="s">
        <v>143</v>
      </c>
      <c r="H13" s="6"/>
      <c r="I13" s="6" t="s">
        <v>28</v>
      </c>
    </row>
    <row r="14" spans="1:13" ht="24" x14ac:dyDescent="0.2">
      <c r="A14" s="5">
        <f t="shared" si="0"/>
        <v>13</v>
      </c>
      <c r="B14" s="6" t="s">
        <v>37</v>
      </c>
      <c r="C14" s="7"/>
      <c r="D14" s="7"/>
      <c r="E14" s="6" t="s">
        <v>69</v>
      </c>
      <c r="F14" s="6" t="s">
        <v>72</v>
      </c>
      <c r="G14" s="6" t="s">
        <v>143</v>
      </c>
      <c r="H14" s="6"/>
      <c r="I14" s="6" t="s">
        <v>28</v>
      </c>
    </row>
    <row r="15" spans="1:13" ht="24" x14ac:dyDescent="0.2">
      <c r="A15" s="5">
        <f t="shared" si="0"/>
        <v>14</v>
      </c>
      <c r="B15" s="6" t="s">
        <v>37</v>
      </c>
      <c r="C15" s="7"/>
      <c r="D15" s="7"/>
      <c r="E15" s="6" t="s">
        <v>69</v>
      </c>
      <c r="F15" s="6" t="s">
        <v>73</v>
      </c>
      <c r="G15" s="6" t="s">
        <v>143</v>
      </c>
      <c r="H15" s="6"/>
      <c r="I15" s="6" t="s">
        <v>28</v>
      </c>
    </row>
    <row r="16" spans="1:13" ht="24" x14ac:dyDescent="0.2">
      <c r="A16" s="5">
        <f t="shared" si="0"/>
        <v>15</v>
      </c>
      <c r="B16" s="6" t="s">
        <v>37</v>
      </c>
      <c r="C16" s="7"/>
      <c r="D16" s="7"/>
      <c r="E16" s="6" t="s">
        <v>69</v>
      </c>
      <c r="F16" s="6" t="s">
        <v>74</v>
      </c>
      <c r="G16" s="6" t="s">
        <v>143</v>
      </c>
      <c r="H16" s="6"/>
      <c r="I16" s="6" t="s">
        <v>28</v>
      </c>
    </row>
    <row r="17" spans="1:9" ht="24" x14ac:dyDescent="0.2">
      <c r="A17" s="5">
        <f t="shared" si="0"/>
        <v>16</v>
      </c>
      <c r="B17" s="6" t="s">
        <v>37</v>
      </c>
      <c r="C17" s="7">
        <v>46055</v>
      </c>
      <c r="D17" s="7">
        <v>46075</v>
      </c>
      <c r="E17" s="6" t="s">
        <v>75</v>
      </c>
      <c r="F17" s="6" t="s">
        <v>77</v>
      </c>
      <c r="G17" s="6" t="s">
        <v>144</v>
      </c>
      <c r="H17" s="6"/>
      <c r="I17" s="6" t="s">
        <v>28</v>
      </c>
    </row>
    <row r="18" spans="1:9" ht="24" x14ac:dyDescent="0.2">
      <c r="A18" s="5">
        <f t="shared" si="0"/>
        <v>17</v>
      </c>
      <c r="B18" s="6" t="s">
        <v>37</v>
      </c>
      <c r="C18" s="7"/>
      <c r="D18" s="7"/>
      <c r="E18" s="6" t="s">
        <v>75</v>
      </c>
      <c r="F18" s="6" t="s">
        <v>78</v>
      </c>
      <c r="G18" s="6" t="s">
        <v>144</v>
      </c>
      <c r="H18" s="6"/>
      <c r="I18" s="6" t="s">
        <v>28</v>
      </c>
    </row>
    <row r="19" spans="1:9" ht="24" x14ac:dyDescent="0.2">
      <c r="A19" s="5">
        <f t="shared" si="0"/>
        <v>18</v>
      </c>
      <c r="B19" s="6" t="s">
        <v>37</v>
      </c>
      <c r="C19" s="7"/>
      <c r="D19" s="7"/>
      <c r="E19" s="6" t="s">
        <v>75</v>
      </c>
      <c r="F19" s="6" t="s">
        <v>79</v>
      </c>
      <c r="G19" s="6" t="s">
        <v>144</v>
      </c>
      <c r="H19" s="6"/>
      <c r="I19" s="6" t="s">
        <v>28</v>
      </c>
    </row>
    <row r="20" spans="1:9" ht="24" x14ac:dyDescent="0.2">
      <c r="A20" s="5">
        <f t="shared" si="0"/>
        <v>19</v>
      </c>
      <c r="B20" s="6" t="s">
        <v>37</v>
      </c>
      <c r="C20" s="7"/>
      <c r="D20" s="7"/>
      <c r="E20" s="6" t="s">
        <v>75</v>
      </c>
      <c r="F20" s="6" t="s">
        <v>80</v>
      </c>
      <c r="G20" s="6" t="s">
        <v>144</v>
      </c>
      <c r="H20" s="6"/>
      <c r="I20" s="6" t="s">
        <v>28</v>
      </c>
    </row>
    <row r="21" spans="1:9" ht="24" x14ac:dyDescent="0.2">
      <c r="A21" s="5">
        <f t="shared" si="0"/>
        <v>20</v>
      </c>
      <c r="B21" s="6" t="s">
        <v>37</v>
      </c>
      <c r="C21" s="7"/>
      <c r="D21" s="7"/>
      <c r="E21" s="6" t="s">
        <v>75</v>
      </c>
      <c r="F21" s="6" t="s">
        <v>82</v>
      </c>
      <c r="G21" s="6" t="s">
        <v>144</v>
      </c>
      <c r="H21" s="6"/>
      <c r="I21" s="6" t="s">
        <v>28</v>
      </c>
    </row>
    <row r="22" spans="1:9" ht="24" x14ac:dyDescent="0.2">
      <c r="A22" s="5">
        <f t="shared" si="0"/>
        <v>21</v>
      </c>
      <c r="B22" s="6" t="s">
        <v>37</v>
      </c>
      <c r="C22" s="7">
        <v>46055</v>
      </c>
      <c r="D22" s="7">
        <v>46075</v>
      </c>
      <c r="E22" s="6" t="s">
        <v>121</v>
      </c>
      <c r="F22" s="6" t="s">
        <v>120</v>
      </c>
      <c r="G22" s="6" t="s">
        <v>145</v>
      </c>
      <c r="H22" s="6"/>
      <c r="I22" s="6" t="s">
        <v>28</v>
      </c>
    </row>
    <row r="23" spans="1:9" ht="24" x14ac:dyDescent="0.2">
      <c r="A23" s="5">
        <f t="shared" si="0"/>
        <v>22</v>
      </c>
      <c r="B23" s="6" t="s">
        <v>37</v>
      </c>
      <c r="C23" s="7"/>
      <c r="D23" s="7"/>
      <c r="E23" s="6" t="s">
        <v>121</v>
      </c>
      <c r="F23" s="6" t="s">
        <v>83</v>
      </c>
      <c r="G23" s="6" t="s">
        <v>145</v>
      </c>
      <c r="H23" s="6"/>
      <c r="I23" s="6" t="s">
        <v>28</v>
      </c>
    </row>
    <row r="24" spans="1:9" ht="24" x14ac:dyDescent="0.2">
      <c r="A24" s="5">
        <f t="shared" si="0"/>
        <v>23</v>
      </c>
      <c r="B24" s="6" t="s">
        <v>37</v>
      </c>
      <c r="C24" s="7"/>
      <c r="D24" s="7"/>
      <c r="E24" s="6" t="s">
        <v>121</v>
      </c>
      <c r="F24" s="6" t="s">
        <v>106</v>
      </c>
      <c r="G24" s="6" t="s">
        <v>145</v>
      </c>
      <c r="H24" s="6"/>
      <c r="I24" s="6" t="s">
        <v>28</v>
      </c>
    </row>
    <row r="25" spans="1:9" ht="24" x14ac:dyDescent="0.2">
      <c r="A25" s="5">
        <f t="shared" si="0"/>
        <v>24</v>
      </c>
      <c r="B25" s="6" t="s">
        <v>37</v>
      </c>
      <c r="C25" s="7"/>
      <c r="D25" s="7"/>
      <c r="E25" s="6" t="s">
        <v>121</v>
      </c>
      <c r="F25" s="6" t="s">
        <v>85</v>
      </c>
      <c r="G25" s="6" t="s">
        <v>145</v>
      </c>
      <c r="H25" s="6"/>
      <c r="I25" s="6" t="s">
        <v>28</v>
      </c>
    </row>
    <row r="26" spans="1:9" ht="24" x14ac:dyDescent="0.2">
      <c r="A26" s="5">
        <f t="shared" si="0"/>
        <v>25</v>
      </c>
      <c r="B26" s="6" t="s">
        <v>37</v>
      </c>
      <c r="C26" s="7"/>
      <c r="D26" s="7"/>
      <c r="E26" s="6" t="s">
        <v>121</v>
      </c>
      <c r="F26" s="6" t="s">
        <v>118</v>
      </c>
      <c r="G26" s="6" t="s">
        <v>145</v>
      </c>
      <c r="H26" s="6"/>
      <c r="I26" s="6" t="s">
        <v>28</v>
      </c>
    </row>
    <row r="27" spans="1:9" ht="24" x14ac:dyDescent="0.2">
      <c r="A27" s="5">
        <f t="shared" si="0"/>
        <v>26</v>
      </c>
      <c r="B27" s="6" t="s">
        <v>37</v>
      </c>
      <c r="C27" s="7"/>
      <c r="D27" s="7"/>
      <c r="E27" s="6" t="s">
        <v>121</v>
      </c>
      <c r="F27" s="6" t="s">
        <v>119</v>
      </c>
      <c r="G27" s="6" t="s">
        <v>145</v>
      </c>
      <c r="H27" s="6"/>
      <c r="I27" s="6" t="s">
        <v>28</v>
      </c>
    </row>
    <row r="28" spans="1:9" ht="24" x14ac:dyDescent="0.2">
      <c r="A28" s="5">
        <f t="shared" si="0"/>
        <v>27</v>
      </c>
      <c r="B28" s="6" t="s">
        <v>37</v>
      </c>
      <c r="C28" s="7"/>
      <c r="D28" s="7"/>
      <c r="E28" s="6" t="s">
        <v>121</v>
      </c>
      <c r="F28" s="6" t="s">
        <v>127</v>
      </c>
      <c r="G28" s="6" t="s">
        <v>145</v>
      </c>
      <c r="H28" s="6"/>
      <c r="I28" s="6" t="s">
        <v>28</v>
      </c>
    </row>
    <row r="29" spans="1:9" ht="50" x14ac:dyDescent="0.2">
      <c r="A29" s="5">
        <f t="shared" si="0"/>
        <v>28</v>
      </c>
      <c r="B29" s="6" t="s">
        <v>47</v>
      </c>
      <c r="C29" s="7">
        <v>46076</v>
      </c>
      <c r="D29" s="7">
        <v>46103</v>
      </c>
      <c r="E29" s="6" t="s">
        <v>48</v>
      </c>
      <c r="F29" s="8" t="s">
        <v>49</v>
      </c>
      <c r="G29" s="6" t="s">
        <v>50</v>
      </c>
      <c r="H29" s="6"/>
      <c r="I29" s="6" t="s">
        <v>15</v>
      </c>
    </row>
    <row r="30" spans="1:9" ht="24" x14ac:dyDescent="0.2">
      <c r="A30" s="5">
        <f t="shared" si="0"/>
        <v>29</v>
      </c>
      <c r="B30" s="6" t="s">
        <v>47</v>
      </c>
      <c r="C30" s="7"/>
      <c r="D30" s="7"/>
      <c r="E30" s="9" t="s">
        <v>46</v>
      </c>
      <c r="F30" s="8"/>
      <c r="G30" s="6"/>
      <c r="H30" s="6"/>
      <c r="I30" s="6" t="s">
        <v>15</v>
      </c>
    </row>
    <row r="31" spans="1:9" ht="50" x14ac:dyDescent="0.2">
      <c r="A31" s="5">
        <f t="shared" si="0"/>
        <v>30</v>
      </c>
      <c r="B31" s="6" t="s">
        <v>51</v>
      </c>
      <c r="C31" s="7">
        <v>46103</v>
      </c>
      <c r="D31" s="7">
        <v>46131</v>
      </c>
      <c r="E31" s="6" t="s">
        <v>52</v>
      </c>
      <c r="F31" s="8" t="s">
        <v>53</v>
      </c>
      <c r="G31" s="6" t="s">
        <v>54</v>
      </c>
      <c r="H31" s="6"/>
      <c r="I31" s="6" t="s">
        <v>15</v>
      </c>
    </row>
    <row r="32" spans="1:9" ht="24" x14ac:dyDescent="0.2">
      <c r="A32" s="5">
        <f t="shared" si="0"/>
        <v>31</v>
      </c>
      <c r="B32" s="6" t="s">
        <v>51</v>
      </c>
      <c r="C32" s="7"/>
      <c r="D32" s="7"/>
      <c r="E32" s="9" t="s">
        <v>46</v>
      </c>
      <c r="F32" s="8"/>
      <c r="G32" s="6"/>
      <c r="H32" s="6"/>
      <c r="I32" s="6" t="s">
        <v>15</v>
      </c>
    </row>
    <row r="33" spans="1:9" ht="25" x14ac:dyDescent="0.2">
      <c r="A33" s="5">
        <f t="shared" si="0"/>
        <v>32</v>
      </c>
      <c r="B33" s="6" t="s">
        <v>55</v>
      </c>
      <c r="C33" s="7">
        <v>46132</v>
      </c>
      <c r="D33" s="7">
        <v>46138</v>
      </c>
      <c r="E33" s="6" t="s">
        <v>56</v>
      </c>
      <c r="F33" s="8" t="s">
        <v>57</v>
      </c>
      <c r="G33" s="6"/>
      <c r="H33" s="6"/>
      <c r="I33" s="6" t="s">
        <v>15</v>
      </c>
    </row>
    <row r="34" spans="1:9" ht="50" x14ac:dyDescent="0.2">
      <c r="A34" s="5">
        <f t="shared" si="0"/>
        <v>33</v>
      </c>
      <c r="B34" s="6" t="s">
        <v>55</v>
      </c>
      <c r="C34" s="7">
        <v>46132</v>
      </c>
      <c r="D34" s="7">
        <v>46138</v>
      </c>
      <c r="E34" s="6" t="s">
        <v>58</v>
      </c>
      <c r="F34" s="8" t="s">
        <v>59</v>
      </c>
      <c r="G34" s="6" t="s">
        <v>60</v>
      </c>
      <c r="H34" s="6"/>
      <c r="I34" s="6" t="s">
        <v>15</v>
      </c>
    </row>
    <row r="35" spans="1:9" ht="25" x14ac:dyDescent="0.2">
      <c r="A35" s="5">
        <f t="shared" si="0"/>
        <v>34</v>
      </c>
      <c r="B35" s="6" t="s">
        <v>55</v>
      </c>
      <c r="C35" s="7">
        <v>46139</v>
      </c>
      <c r="D35" s="7">
        <v>46145</v>
      </c>
      <c r="E35" s="6" t="s">
        <v>61</v>
      </c>
      <c r="F35" s="8" t="s">
        <v>62</v>
      </c>
      <c r="G35" s="6" t="s">
        <v>63</v>
      </c>
      <c r="H35" s="6"/>
      <c r="I35" s="6" t="s">
        <v>15</v>
      </c>
    </row>
    <row r="36" spans="1:9" ht="25" x14ac:dyDescent="0.2">
      <c r="A36" s="5">
        <f t="shared" si="0"/>
        <v>35</v>
      </c>
      <c r="B36" s="6" t="s">
        <v>55</v>
      </c>
      <c r="C36" s="7">
        <v>46145</v>
      </c>
      <c r="D36" s="7">
        <v>46145</v>
      </c>
      <c r="E36" s="6" t="s">
        <v>64</v>
      </c>
      <c r="F36" s="8" t="s">
        <v>65</v>
      </c>
      <c r="G36" s="6"/>
      <c r="H36" s="6"/>
      <c r="I36" s="6" t="s">
        <v>15</v>
      </c>
    </row>
    <row r="37" spans="1:9" ht="16" x14ac:dyDescent="0.2"/>
    <row r="38" spans="1:9" ht="16" x14ac:dyDescent="0.2"/>
    <row r="39" spans="1:9" ht="16" x14ac:dyDescent="0.2"/>
  </sheetData>
  <dataValidations count="1">
    <dataValidation type="list" allowBlank="1" showInputMessage="1" showErrorMessage="1" errorTitle="Invalid Selection" error="Choose one of the following" promptTitle="Select Status" sqref="I2:I36" xr:uid="{938B18A3-4CE8-5948-9E1F-1585FCF142FF}">
      <formula1>$M$2:$M$7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0264-0B08-4F43-BE14-9867195DF127}">
  <dimension ref="A1:F64"/>
  <sheetViews>
    <sheetView zoomScale="130" zoomScaleNormal="130" workbookViewId="0">
      <pane xSplit="1" ySplit="1" topLeftCell="B23" activePane="bottomRight" state="frozen"/>
      <selection pane="topRight" activeCell="B1" sqref="B1"/>
      <selection pane="bottomLeft" activeCell="A4" sqref="A4"/>
      <selection pane="bottomRight" activeCell="E23" sqref="E23"/>
    </sheetView>
  </sheetViews>
  <sheetFormatPr baseColWidth="10" defaultColWidth="11" defaultRowHeight="16" x14ac:dyDescent="0.2"/>
  <cols>
    <col min="1" max="1" width="92.6640625" bestFit="1" customWidth="1"/>
    <col min="2" max="2" width="14.5" bestFit="1" customWidth="1"/>
    <col min="3" max="3" width="14.6640625" bestFit="1" customWidth="1"/>
    <col min="4" max="4" width="24.1640625" bestFit="1" customWidth="1"/>
    <col min="5" max="5" width="24" bestFit="1" customWidth="1"/>
  </cols>
  <sheetData>
    <row r="1" spans="1:6" ht="21" x14ac:dyDescent="0.25">
      <c r="A1" s="1" t="s">
        <v>66</v>
      </c>
      <c r="B1" s="1" t="s">
        <v>28</v>
      </c>
      <c r="C1" s="1" t="s">
        <v>67</v>
      </c>
      <c r="D1" s="1" t="s">
        <v>68</v>
      </c>
      <c r="E1" s="1" t="s">
        <v>117</v>
      </c>
      <c r="F1" s="1" t="s">
        <v>116</v>
      </c>
    </row>
    <row r="2" spans="1:6" ht="22" x14ac:dyDescent="0.3">
      <c r="A2" s="10" t="s">
        <v>128</v>
      </c>
      <c r="B2" s="11"/>
      <c r="C2" s="11"/>
      <c r="D2" s="11"/>
      <c r="E2" s="1"/>
      <c r="F2" s="1"/>
    </row>
    <row r="3" spans="1:6" ht="22" x14ac:dyDescent="0.3">
      <c r="A3" s="20" t="s">
        <v>129</v>
      </c>
      <c r="B3" s="11" t="s">
        <v>142</v>
      </c>
      <c r="C3" s="11" t="s">
        <v>142</v>
      </c>
      <c r="D3" s="11"/>
      <c r="E3" s="1"/>
      <c r="F3" s="1"/>
    </row>
    <row r="4" spans="1:6" ht="22" x14ac:dyDescent="0.3">
      <c r="A4" s="20" t="s">
        <v>130</v>
      </c>
      <c r="B4" s="11" t="s">
        <v>142</v>
      </c>
      <c r="C4" s="11" t="s">
        <v>142</v>
      </c>
      <c r="D4" s="11"/>
      <c r="E4" s="1"/>
      <c r="F4" s="1"/>
    </row>
    <row r="5" spans="1:6" ht="22" x14ac:dyDescent="0.3">
      <c r="A5" s="20" t="s">
        <v>131</v>
      </c>
      <c r="B5" s="11" t="s">
        <v>142</v>
      </c>
      <c r="C5" s="11" t="s">
        <v>142</v>
      </c>
      <c r="D5" s="11"/>
      <c r="E5" s="1"/>
      <c r="F5" s="1"/>
    </row>
    <row r="6" spans="1:6" ht="22" x14ac:dyDescent="0.3">
      <c r="A6" s="20" t="s">
        <v>132</v>
      </c>
      <c r="B6" s="11" t="s">
        <v>142</v>
      </c>
      <c r="C6" s="11" t="s">
        <v>142</v>
      </c>
      <c r="D6" s="11"/>
      <c r="E6" s="1"/>
      <c r="F6" s="1"/>
    </row>
    <row r="7" spans="1:6" ht="22" x14ac:dyDescent="0.3">
      <c r="A7" s="20" t="s">
        <v>133</v>
      </c>
      <c r="B7" s="11" t="s">
        <v>142</v>
      </c>
      <c r="C7" s="11" t="s">
        <v>142</v>
      </c>
      <c r="D7" s="11"/>
      <c r="E7" s="1"/>
      <c r="F7" s="1"/>
    </row>
    <row r="8" spans="1:6" ht="22" x14ac:dyDescent="0.3">
      <c r="A8" s="20" t="s">
        <v>134</v>
      </c>
      <c r="B8" s="11" t="s">
        <v>142</v>
      </c>
      <c r="C8" s="11" t="s">
        <v>142</v>
      </c>
      <c r="D8" s="11"/>
      <c r="E8" s="1"/>
      <c r="F8" s="1"/>
    </row>
    <row r="9" spans="1:6" ht="22" x14ac:dyDescent="0.3">
      <c r="A9" s="20" t="s">
        <v>135</v>
      </c>
      <c r="B9" s="11" t="s">
        <v>142</v>
      </c>
      <c r="C9" s="11" t="s">
        <v>142</v>
      </c>
      <c r="D9" s="11"/>
      <c r="E9" s="1"/>
      <c r="F9" s="1"/>
    </row>
    <row r="10" spans="1:6" ht="22" x14ac:dyDescent="0.3">
      <c r="A10" s="10" t="s">
        <v>86</v>
      </c>
      <c r="B10" s="11"/>
      <c r="C10" s="11"/>
      <c r="D10" s="1"/>
      <c r="E10" s="1"/>
      <c r="F10" s="1"/>
    </row>
    <row r="11" spans="1:6" ht="22" x14ac:dyDescent="0.3">
      <c r="A11" s="10" t="s">
        <v>69</v>
      </c>
      <c r="B11" s="11"/>
      <c r="C11" s="11"/>
      <c r="D11" s="1" t="s">
        <v>70</v>
      </c>
      <c r="E11" s="1"/>
      <c r="F11" s="1"/>
    </row>
    <row r="12" spans="1:6" ht="22" x14ac:dyDescent="0.3">
      <c r="A12" s="12" t="s">
        <v>71</v>
      </c>
      <c r="B12" s="11" t="s">
        <v>142</v>
      </c>
      <c r="C12" s="11" t="s">
        <v>142</v>
      </c>
      <c r="D12" s="1" t="s">
        <v>70</v>
      </c>
      <c r="E12" s="1"/>
      <c r="F12" s="1"/>
    </row>
    <row r="13" spans="1:6" ht="22" x14ac:dyDescent="0.3">
      <c r="A13" s="12" t="s">
        <v>72</v>
      </c>
      <c r="B13" s="11" t="s">
        <v>142</v>
      </c>
      <c r="C13" s="11" t="s">
        <v>142</v>
      </c>
      <c r="D13" s="1" t="s">
        <v>70</v>
      </c>
      <c r="E13" s="1"/>
      <c r="F13" s="1"/>
    </row>
    <row r="14" spans="1:6" ht="22" x14ac:dyDescent="0.3">
      <c r="A14" s="12" t="s">
        <v>73</v>
      </c>
      <c r="B14" s="11" t="s">
        <v>142</v>
      </c>
      <c r="C14" s="11" t="s">
        <v>142</v>
      </c>
      <c r="D14" s="1" t="s">
        <v>70</v>
      </c>
      <c r="E14" s="1"/>
      <c r="F14" s="1"/>
    </row>
    <row r="15" spans="1:6" ht="22" x14ac:dyDescent="0.3">
      <c r="A15" s="12" t="s">
        <v>74</v>
      </c>
      <c r="B15" s="11" t="s">
        <v>142</v>
      </c>
      <c r="C15" s="11" t="s">
        <v>142</v>
      </c>
      <c r="D15" s="1" t="s">
        <v>70</v>
      </c>
      <c r="E15" s="1"/>
      <c r="F15" s="1"/>
    </row>
    <row r="16" spans="1:6" ht="22" x14ac:dyDescent="0.3">
      <c r="A16" s="10" t="s">
        <v>75</v>
      </c>
      <c r="B16" s="11"/>
      <c r="C16" s="11"/>
      <c r="D16" s="1" t="s">
        <v>76</v>
      </c>
      <c r="E16" s="1"/>
      <c r="F16" s="1"/>
    </row>
    <row r="17" spans="1:6" ht="22" x14ac:dyDescent="0.3">
      <c r="A17" s="12" t="s">
        <v>77</v>
      </c>
      <c r="B17" s="11" t="s">
        <v>142</v>
      </c>
      <c r="C17" s="11" t="s">
        <v>142</v>
      </c>
      <c r="D17" s="1" t="s">
        <v>76</v>
      </c>
      <c r="E17" s="1"/>
      <c r="F17" s="1"/>
    </row>
    <row r="18" spans="1:6" ht="22" x14ac:dyDescent="0.3">
      <c r="A18" s="12" t="s">
        <v>78</v>
      </c>
      <c r="B18" s="11" t="s">
        <v>142</v>
      </c>
      <c r="C18" s="11" t="s">
        <v>142</v>
      </c>
      <c r="D18" s="1" t="s">
        <v>76</v>
      </c>
      <c r="E18" s="1"/>
      <c r="F18" s="1"/>
    </row>
    <row r="19" spans="1:6" ht="22" x14ac:dyDescent="0.3">
      <c r="A19" s="12" t="s">
        <v>79</v>
      </c>
      <c r="B19" s="11" t="s">
        <v>142</v>
      </c>
      <c r="C19" s="11" t="s">
        <v>142</v>
      </c>
      <c r="D19" s="1" t="s">
        <v>76</v>
      </c>
      <c r="E19" s="1"/>
      <c r="F19" s="1"/>
    </row>
    <row r="20" spans="1:6" ht="22" x14ac:dyDescent="0.3">
      <c r="A20" s="12" t="s">
        <v>80</v>
      </c>
      <c r="B20" s="11" t="s">
        <v>142</v>
      </c>
      <c r="C20" s="11" t="s">
        <v>142</v>
      </c>
      <c r="D20" s="1" t="s">
        <v>81</v>
      </c>
      <c r="E20" s="1"/>
      <c r="F20" s="1"/>
    </row>
    <row r="21" spans="1:6" ht="22" x14ac:dyDescent="0.3">
      <c r="A21" s="12" t="s">
        <v>82</v>
      </c>
      <c r="B21" s="11" t="s">
        <v>142</v>
      </c>
      <c r="C21" s="11" t="s">
        <v>142</v>
      </c>
      <c r="D21" s="1" t="s">
        <v>81</v>
      </c>
      <c r="E21" s="1"/>
      <c r="F21" s="1"/>
    </row>
    <row r="22" spans="1:6" ht="22" x14ac:dyDescent="0.3">
      <c r="A22" s="19" t="s">
        <v>121</v>
      </c>
      <c r="B22" s="13"/>
      <c r="C22" s="11"/>
      <c r="D22" s="11"/>
      <c r="E22" s="1"/>
      <c r="F22" s="1"/>
    </row>
    <row r="23" spans="1:6" ht="22" x14ac:dyDescent="0.3">
      <c r="A23" s="20" t="s">
        <v>120</v>
      </c>
      <c r="B23" s="11" t="s">
        <v>142</v>
      </c>
      <c r="C23" s="11" t="s">
        <v>142</v>
      </c>
      <c r="D23" s="1" t="s">
        <v>124</v>
      </c>
      <c r="E23" s="1"/>
      <c r="F23" s="1"/>
    </row>
    <row r="24" spans="1:6" ht="22" x14ac:dyDescent="0.3">
      <c r="A24" s="20" t="s">
        <v>83</v>
      </c>
      <c r="B24" s="11" t="s">
        <v>142</v>
      </c>
      <c r="C24" s="11" t="s">
        <v>142</v>
      </c>
      <c r="D24" s="1" t="s">
        <v>84</v>
      </c>
      <c r="E24" s="1"/>
      <c r="F24" s="1"/>
    </row>
    <row r="25" spans="1:6" ht="22" x14ac:dyDescent="0.3">
      <c r="A25" s="20" t="s">
        <v>106</v>
      </c>
      <c r="B25" s="11" t="s">
        <v>142</v>
      </c>
      <c r="C25" s="11" t="s">
        <v>142</v>
      </c>
      <c r="D25" s="11" t="s">
        <v>126</v>
      </c>
      <c r="E25" s="1"/>
      <c r="F25" s="1"/>
    </row>
    <row r="26" spans="1:6" ht="22" x14ac:dyDescent="0.3">
      <c r="A26" s="20" t="s">
        <v>85</v>
      </c>
      <c r="B26" s="11" t="s">
        <v>142</v>
      </c>
      <c r="C26" s="11" t="s">
        <v>142</v>
      </c>
      <c r="D26" s="1" t="s">
        <v>125</v>
      </c>
      <c r="E26" s="1"/>
      <c r="F26" s="1"/>
    </row>
    <row r="27" spans="1:6" ht="22" x14ac:dyDescent="0.3">
      <c r="A27" s="20" t="s">
        <v>118</v>
      </c>
      <c r="B27" s="11" t="s">
        <v>142</v>
      </c>
      <c r="C27" s="11" t="s">
        <v>142</v>
      </c>
      <c r="D27" s="11" t="s">
        <v>123</v>
      </c>
      <c r="E27" s="1"/>
      <c r="F27" s="1"/>
    </row>
    <row r="28" spans="1:6" ht="22" x14ac:dyDescent="0.3">
      <c r="A28" s="20" t="s">
        <v>119</v>
      </c>
      <c r="B28" s="11" t="s">
        <v>142</v>
      </c>
      <c r="C28" s="11" t="s">
        <v>142</v>
      </c>
      <c r="D28" s="11" t="s">
        <v>122</v>
      </c>
      <c r="E28" s="1"/>
      <c r="F28" s="1"/>
    </row>
    <row r="29" spans="1:6" ht="22" x14ac:dyDescent="0.3">
      <c r="A29" s="20" t="s">
        <v>127</v>
      </c>
      <c r="B29" s="11" t="s">
        <v>142</v>
      </c>
      <c r="C29" s="11" t="s">
        <v>142</v>
      </c>
      <c r="D29" s="11" t="s">
        <v>122</v>
      </c>
      <c r="E29" s="1"/>
      <c r="F29" s="1"/>
    </row>
    <row r="30" spans="1:6" ht="22" x14ac:dyDescent="0.3">
      <c r="A30" s="10" t="s">
        <v>87</v>
      </c>
      <c r="B30" s="11"/>
      <c r="C30" s="11"/>
      <c r="D30" s="11"/>
      <c r="E30" s="1"/>
      <c r="F30" s="1"/>
    </row>
    <row r="31" spans="1:6" ht="22" x14ac:dyDescent="0.25">
      <c r="A31" s="21" t="s">
        <v>88</v>
      </c>
      <c r="B31" s="11"/>
      <c r="C31" s="11"/>
      <c r="D31" s="11"/>
      <c r="E31" s="1"/>
      <c r="F31" s="1"/>
    </row>
    <row r="32" spans="1:6" ht="22" x14ac:dyDescent="0.25">
      <c r="A32" s="21" t="s">
        <v>89</v>
      </c>
      <c r="B32" s="11"/>
      <c r="C32" s="11"/>
      <c r="D32" s="11"/>
      <c r="E32" s="1"/>
      <c r="F32" s="1"/>
    </row>
    <row r="33" spans="1:6" ht="22" x14ac:dyDescent="0.25">
      <c r="A33" s="21" t="s">
        <v>90</v>
      </c>
      <c r="B33" s="11"/>
      <c r="C33" s="11"/>
      <c r="D33" s="11"/>
      <c r="E33" s="1"/>
      <c r="F33" s="1"/>
    </row>
    <row r="34" spans="1:6" ht="22" x14ac:dyDescent="0.25">
      <c r="A34" s="21" t="s">
        <v>91</v>
      </c>
      <c r="B34" s="11"/>
      <c r="C34" s="11"/>
      <c r="D34" s="11"/>
      <c r="E34" s="1"/>
      <c r="F34" s="1"/>
    </row>
    <row r="35" spans="1:6" ht="22" x14ac:dyDescent="0.25">
      <c r="A35" s="21" t="s">
        <v>92</v>
      </c>
      <c r="B35" s="11"/>
      <c r="C35" s="11"/>
      <c r="D35" s="11"/>
      <c r="E35" s="1"/>
      <c r="F35" s="1"/>
    </row>
    <row r="36" spans="1:6" ht="22" x14ac:dyDescent="0.25">
      <c r="A36" s="21" t="s">
        <v>93</v>
      </c>
      <c r="B36" s="11"/>
      <c r="C36" s="11"/>
      <c r="D36" s="11"/>
      <c r="E36" s="1"/>
      <c r="F36" s="1"/>
    </row>
    <row r="37" spans="1:6" ht="22" x14ac:dyDescent="0.25">
      <c r="A37" s="21" t="s">
        <v>94</v>
      </c>
      <c r="B37" s="11"/>
      <c r="C37" s="11"/>
      <c r="D37" s="11"/>
      <c r="E37" s="1"/>
      <c r="F37" s="1"/>
    </row>
    <row r="38" spans="1:6" ht="22" x14ac:dyDescent="0.25">
      <c r="A38" s="21" t="s">
        <v>136</v>
      </c>
      <c r="B38" s="11"/>
      <c r="C38" s="11"/>
      <c r="D38" s="11"/>
      <c r="E38" s="1"/>
      <c r="F38" s="1"/>
    </row>
    <row r="39" spans="1:6" ht="22" x14ac:dyDescent="0.25">
      <c r="A39" s="21" t="s">
        <v>137</v>
      </c>
      <c r="B39" s="11"/>
      <c r="C39" s="11"/>
      <c r="D39" s="11"/>
      <c r="E39" s="1"/>
      <c r="F39" s="1"/>
    </row>
    <row r="40" spans="1:6" ht="22" x14ac:dyDescent="0.25">
      <c r="A40" s="21" t="s">
        <v>138</v>
      </c>
      <c r="B40" s="11"/>
      <c r="C40" s="11"/>
      <c r="D40" s="11"/>
      <c r="E40" s="1"/>
      <c r="F40" s="1"/>
    </row>
    <row r="41" spans="1:6" ht="22" x14ac:dyDescent="0.25">
      <c r="A41" s="21" t="s">
        <v>139</v>
      </c>
      <c r="B41" s="11"/>
      <c r="C41" s="11"/>
      <c r="D41" s="11"/>
      <c r="E41" s="1"/>
      <c r="F41" s="1"/>
    </row>
    <row r="42" spans="1:6" ht="22" x14ac:dyDescent="0.25">
      <c r="A42" s="21" t="s">
        <v>140</v>
      </c>
      <c r="B42" s="11"/>
      <c r="C42" s="11"/>
      <c r="D42" s="11"/>
      <c r="E42" s="1"/>
      <c r="F42" s="1"/>
    </row>
    <row r="43" spans="1:6" ht="22" x14ac:dyDescent="0.25">
      <c r="A43" s="21" t="s">
        <v>141</v>
      </c>
      <c r="B43" s="11"/>
      <c r="C43" s="11"/>
      <c r="D43" s="11"/>
      <c r="E43" s="1"/>
      <c r="F43" s="1"/>
    </row>
    <row r="44" spans="1:6" ht="22" x14ac:dyDescent="0.25">
      <c r="A44" s="16" t="s">
        <v>95</v>
      </c>
      <c r="B44" s="11"/>
      <c r="C44" s="11"/>
      <c r="D44" s="11"/>
      <c r="E44" s="1"/>
      <c r="F44" s="1"/>
    </row>
    <row r="45" spans="1:6" ht="22" x14ac:dyDescent="0.25">
      <c r="A45" s="15" t="s">
        <v>96</v>
      </c>
      <c r="B45" s="11"/>
      <c r="C45" s="11"/>
      <c r="D45" s="11"/>
      <c r="E45" s="1"/>
      <c r="F45" s="1"/>
    </row>
    <row r="46" spans="1:6" ht="22" x14ac:dyDescent="0.25">
      <c r="A46" s="15" t="s">
        <v>97</v>
      </c>
      <c r="B46" s="11"/>
      <c r="C46" s="11"/>
      <c r="D46" s="11"/>
      <c r="E46" s="1"/>
      <c r="F46" s="1"/>
    </row>
    <row r="47" spans="1:6" ht="22" x14ac:dyDescent="0.25">
      <c r="A47" s="15" t="s">
        <v>98</v>
      </c>
      <c r="B47" s="11"/>
      <c r="C47" s="11"/>
      <c r="D47" s="11"/>
      <c r="E47" s="1"/>
      <c r="F47" s="1"/>
    </row>
    <row r="48" spans="1:6" ht="22" x14ac:dyDescent="0.25">
      <c r="A48" s="15" t="s">
        <v>99</v>
      </c>
      <c r="B48" s="11"/>
      <c r="C48" s="11"/>
      <c r="D48" s="11"/>
      <c r="E48" s="1"/>
      <c r="F48" s="1"/>
    </row>
    <row r="49" spans="1:6" ht="22" x14ac:dyDescent="0.25">
      <c r="A49" s="15" t="s">
        <v>100</v>
      </c>
      <c r="B49" s="11"/>
      <c r="C49" s="11"/>
      <c r="D49" s="11"/>
      <c r="E49" s="1"/>
      <c r="F49" s="1"/>
    </row>
    <row r="50" spans="1:6" ht="22" x14ac:dyDescent="0.25">
      <c r="A50" s="14" t="s">
        <v>115</v>
      </c>
      <c r="B50" s="11"/>
      <c r="C50" s="11"/>
      <c r="D50" s="11"/>
      <c r="E50" s="1"/>
      <c r="F50" s="1"/>
    </row>
    <row r="51" spans="1:6" ht="22" x14ac:dyDescent="0.25">
      <c r="A51" s="17" t="s">
        <v>101</v>
      </c>
      <c r="B51" s="11"/>
      <c r="C51" s="11"/>
      <c r="D51" s="11"/>
      <c r="E51" s="1"/>
      <c r="F51" s="1"/>
    </row>
    <row r="52" spans="1:6" ht="22" x14ac:dyDescent="0.25">
      <c r="A52" s="17" t="s">
        <v>102</v>
      </c>
      <c r="B52" s="11"/>
      <c r="C52" s="11"/>
      <c r="D52" s="11"/>
      <c r="E52" s="1"/>
      <c r="F52" s="1"/>
    </row>
    <row r="53" spans="1:6" ht="22" x14ac:dyDescent="0.25">
      <c r="A53" s="17" t="s">
        <v>103</v>
      </c>
      <c r="B53" s="11"/>
      <c r="C53" s="11"/>
      <c r="D53" s="11"/>
      <c r="E53" s="1"/>
      <c r="F53" s="1"/>
    </row>
    <row r="54" spans="1:6" ht="22" x14ac:dyDescent="0.25">
      <c r="A54" s="16" t="s">
        <v>104</v>
      </c>
      <c r="B54" s="11"/>
      <c r="C54" s="11"/>
      <c r="D54" s="11"/>
      <c r="E54" s="1"/>
      <c r="F54" s="1"/>
    </row>
    <row r="55" spans="1:6" ht="22" x14ac:dyDescent="0.25">
      <c r="A55" s="15" t="s">
        <v>105</v>
      </c>
      <c r="B55" s="11"/>
      <c r="C55" s="11"/>
      <c r="D55" s="11"/>
      <c r="E55" s="1"/>
      <c r="F55" s="1"/>
    </row>
    <row r="56" spans="1:6" ht="22" x14ac:dyDescent="0.25">
      <c r="A56" s="15" t="s">
        <v>106</v>
      </c>
      <c r="B56" s="11"/>
      <c r="C56" s="11"/>
      <c r="D56" s="11"/>
      <c r="E56" s="1"/>
      <c r="F56" s="1"/>
    </row>
    <row r="57" spans="1:6" ht="22" x14ac:dyDescent="0.25">
      <c r="A57" s="15" t="s">
        <v>107</v>
      </c>
      <c r="B57" s="11"/>
      <c r="C57" s="11"/>
      <c r="D57" s="11"/>
      <c r="E57" s="1"/>
      <c r="F57" s="1"/>
    </row>
    <row r="58" spans="1:6" ht="22" x14ac:dyDescent="0.25">
      <c r="A58" s="15" t="s">
        <v>108</v>
      </c>
      <c r="B58" s="11"/>
      <c r="C58" s="11"/>
      <c r="D58" s="11"/>
      <c r="E58" s="1"/>
      <c r="F58" s="1"/>
    </row>
    <row r="59" spans="1:6" ht="22" x14ac:dyDescent="0.25">
      <c r="A59" s="15" t="s">
        <v>109</v>
      </c>
      <c r="B59" s="11"/>
      <c r="C59" s="11"/>
      <c r="D59" s="11"/>
      <c r="E59" s="1"/>
      <c r="F59" s="1"/>
    </row>
    <row r="60" spans="1:6" ht="22" x14ac:dyDescent="0.25">
      <c r="A60" s="15" t="s">
        <v>110</v>
      </c>
      <c r="B60" s="11"/>
      <c r="C60" s="11"/>
      <c r="D60" s="11"/>
      <c r="E60" s="1"/>
      <c r="F60" s="1"/>
    </row>
    <row r="61" spans="1:6" ht="22" x14ac:dyDescent="0.25">
      <c r="A61" s="15" t="s">
        <v>111</v>
      </c>
      <c r="B61" s="11"/>
      <c r="C61" s="11"/>
      <c r="D61" s="11"/>
      <c r="E61" s="1"/>
      <c r="F61" s="1"/>
    </row>
    <row r="62" spans="1:6" ht="22" x14ac:dyDescent="0.25">
      <c r="A62" s="15" t="s">
        <v>112</v>
      </c>
      <c r="B62" s="11"/>
      <c r="C62" s="11"/>
      <c r="D62" s="11"/>
      <c r="E62" s="1"/>
      <c r="F62" s="1"/>
    </row>
    <row r="63" spans="1:6" ht="22" x14ac:dyDescent="0.25">
      <c r="A63" s="15" t="s">
        <v>113</v>
      </c>
      <c r="B63" s="11"/>
      <c r="C63" s="11"/>
      <c r="D63" s="11"/>
      <c r="E63" s="1"/>
      <c r="F63" s="1"/>
    </row>
    <row r="64" spans="1:6" ht="22" x14ac:dyDescent="0.3">
      <c r="A64" s="18" t="s">
        <v>114</v>
      </c>
      <c r="B64" s="11"/>
      <c r="C64" s="11"/>
      <c r="D64" s="11"/>
      <c r="E64" s="1"/>
      <c r="F64" s="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3A9CC57B1D04C88B232A0302D8CA3" ma:contentTypeVersion="3" ma:contentTypeDescription="Create a new document." ma:contentTypeScope="" ma:versionID="05b0d68458a83f2dceb9390af74df2d9">
  <xsd:schema xmlns:xsd="http://www.w3.org/2001/XMLSchema" xmlns:xs="http://www.w3.org/2001/XMLSchema" xmlns:p="http://schemas.microsoft.com/office/2006/metadata/properties" xmlns:ns2="065b4d7f-d8c6-44ec-a703-ccc78861ced7" targetNamespace="http://schemas.microsoft.com/office/2006/metadata/properties" ma:root="true" ma:fieldsID="60265b2f8f9a075f6caa8f93d374a713" ns2:_="">
    <xsd:import namespace="065b4d7f-d8c6-44ec-a703-ccc78861ce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b4d7f-d8c6-44ec-a703-ccc78861c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697904-E71C-4FA6-B434-E18DC096DB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5753AB-B095-41FC-A987-A2B54F3A34B0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065b4d7f-d8c6-44ec-a703-ccc78861ced7"/>
  </ds:schemaRefs>
</ds:datastoreItem>
</file>

<file path=customXml/itemProps3.xml><?xml version="1.0" encoding="utf-8"?>
<ds:datastoreItem xmlns:ds="http://schemas.openxmlformats.org/officeDocument/2006/customXml" ds:itemID="{C9A054C1-26DE-4F77-A222-EC2FB84B7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b4d7f-d8c6-44ec-a703-ccc78861ce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Schedule &amp; Milestones</vt:lpstr>
      <vt:lpstr>Deliverable Listing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MacKenny</dc:creator>
  <cp:keywords/>
  <dc:description/>
  <cp:lastModifiedBy>Matt MacKenny</cp:lastModifiedBy>
  <cp:revision/>
  <dcterms:created xsi:type="dcterms:W3CDTF">2026-01-17T10:44:25Z</dcterms:created>
  <dcterms:modified xsi:type="dcterms:W3CDTF">2026-02-22T14:39:07Z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0x010100E363A9CC57B1D04C88B232A0302D8CA3</vt:lpwstr>
  </property>
</Properties>
</file>